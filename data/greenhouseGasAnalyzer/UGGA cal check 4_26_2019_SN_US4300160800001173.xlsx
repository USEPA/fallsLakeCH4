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iv\Cin\NRMRL\ReservoirEbullitionStudy\lgrCalibration\"/>
    </mc:Choice>
  </mc:AlternateContent>
  <xr:revisionPtr revIDLastSave="0" documentId="13_ncr:1_{77ECCDD3-70CB-440A-AFC4-53B33939059D}" xr6:coauthVersionLast="41" xr6:coauthVersionMax="41" xr10:uidLastSave="{00000000-0000-0000-0000-000000000000}"/>
  <bookViews>
    <workbookView xWindow="38280" yWindow="-120" windowWidth="19440" windowHeight="15000" xr2:uid="{A09E08CF-C0CA-470E-B6DA-ED8424D3201B}"/>
  </bookViews>
  <sheets>
    <sheet name="data sheet" sheetId="1" r:id="rId1"/>
    <sheet name="dropdown list" sheetId="2" r:id="rId2"/>
  </sheets>
  <definedNames>
    <definedName name="_xlnm.Print_Area" localSheetId="0">'data sheet'!$A$3:$N$23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3" i="1" l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D15" i="1" l="1"/>
  <c r="D16" i="1"/>
  <c r="D17" i="1"/>
  <c r="D18" i="1"/>
  <c r="D19" i="1"/>
  <c r="D20" i="1"/>
  <c r="D21" i="1"/>
  <c r="D22" i="1"/>
  <c r="D23" i="1"/>
  <c r="D14" i="1"/>
</calcChain>
</file>

<file path=xl/sharedStrings.xml><?xml version="1.0" encoding="utf-8"?>
<sst xmlns="http://schemas.openxmlformats.org/spreadsheetml/2006/main" count="32" uniqueCount="31">
  <si>
    <t xml:space="preserve">Point </t>
  </si>
  <si>
    <t xml:space="preserve">Start Time: </t>
  </si>
  <si>
    <t xml:space="preserve">End Time: </t>
  </si>
  <si>
    <t>LGR Serial Number:</t>
  </si>
  <si>
    <t>Date:</t>
  </si>
  <si>
    <t>LGR 10-POINT CALIBRATION CHECK DATA SHEET</t>
  </si>
  <si>
    <t>Unique identifier (i.e. lot number)</t>
  </si>
  <si>
    <t>STANDARD CALCULATIONS</t>
  </si>
  <si>
    <t>MEASURED VALUES</t>
  </si>
  <si>
    <r>
      <t>CH</t>
    </r>
    <r>
      <rPr>
        <vertAlign val="subscript"/>
        <sz val="11.5"/>
        <color rgb="FF000000"/>
        <rFont val="Calibri"/>
        <family val="2"/>
      </rPr>
      <t>4</t>
    </r>
    <r>
      <rPr>
        <sz val="11.5"/>
        <color rgb="FF000000"/>
        <rFont val="Calibri"/>
        <family val="2"/>
      </rPr>
      <t xml:space="preserve"> known</t>
    </r>
  </si>
  <si>
    <r>
      <t>CO</t>
    </r>
    <r>
      <rPr>
        <vertAlign val="subscript"/>
        <sz val="11.5"/>
        <color rgb="FF000000"/>
        <rFont val="Calibri"/>
        <family val="2"/>
      </rPr>
      <t>2</t>
    </r>
    <r>
      <rPr>
        <sz val="11.5"/>
        <color rgb="FF000000"/>
        <rFont val="Calibri"/>
        <family val="2"/>
      </rPr>
      <t xml:space="preserve"> known</t>
    </r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</si>
  <si>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(ppm)</t>
    </r>
  </si>
  <si>
    <t>STANDARD INFORMATION</t>
  </si>
  <si>
    <t>Analyst:</t>
  </si>
  <si>
    <r>
      <t>S</t>
    </r>
    <r>
      <rPr>
        <vertAlign val="subscript"/>
        <sz val="11.5"/>
        <color rgb="FF000000"/>
        <rFont val="Calibri"/>
        <family val="2"/>
      </rPr>
      <t xml:space="preserve">low </t>
    </r>
  </si>
  <si>
    <r>
      <t>S</t>
    </r>
    <r>
      <rPr>
        <vertAlign val="subscript"/>
        <sz val="11.5"/>
        <color rgb="FF000000"/>
        <rFont val="Calibri"/>
        <family val="2"/>
      </rPr>
      <t xml:space="preserve">high </t>
    </r>
  </si>
  <si>
    <t>total flow</t>
  </si>
  <si>
    <t>SESSION INFO</t>
  </si>
  <si>
    <t>15-0016</t>
  </si>
  <si>
    <t>US4300160800001173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</si>
  <si>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(ppm)</t>
    </r>
  </si>
  <si>
    <r>
      <t xml:space="preserve">Laser A </t>
    </r>
    <r>
      <rPr>
        <sz val="11"/>
        <color theme="1"/>
        <rFont val="Calibri"/>
        <family val="2"/>
      </rPr>
      <t>τ</t>
    </r>
    <r>
      <rPr>
        <sz val="11"/>
        <color theme="1"/>
        <rFont val="Calibri"/>
        <family val="2"/>
        <scheme val="minor"/>
      </rPr>
      <t>:</t>
    </r>
  </si>
  <si>
    <r>
      <t xml:space="preserve">Laser B </t>
    </r>
    <r>
      <rPr>
        <sz val="11"/>
        <color theme="1"/>
        <rFont val="Calibri"/>
        <family val="2"/>
      </rPr>
      <t>τ</t>
    </r>
    <r>
      <rPr>
        <sz val="11"/>
        <color theme="1"/>
        <rFont val="Calibri"/>
        <family val="2"/>
        <scheme val="minor"/>
      </rPr>
      <t>:</t>
    </r>
  </si>
  <si>
    <r>
      <t>CH</t>
    </r>
    <r>
      <rPr>
        <vertAlign val="subscript"/>
        <sz val="11.5"/>
        <color rgb="FF000000"/>
        <rFont val="Calibri"/>
        <family val="2"/>
      </rPr>
      <t>4</t>
    </r>
  </si>
  <si>
    <r>
      <t>CO</t>
    </r>
    <r>
      <rPr>
        <vertAlign val="subscript"/>
        <sz val="11.5"/>
        <color rgb="FF000000"/>
        <rFont val="Calibri"/>
        <family val="2"/>
      </rPr>
      <t>2</t>
    </r>
  </si>
  <si>
    <t>low</t>
  </si>
  <si>
    <t>high</t>
  </si>
  <si>
    <t>File Name:</t>
  </si>
  <si>
    <t>AB + DD</t>
  </si>
  <si>
    <t>Praxair Batch 70001719404</t>
  </si>
  <si>
    <t xml:space="preserve">Liquide reference 54-401447400-1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</si>
</sst>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.5"/>
      <color rgb="FF000000"/>
      <name val="Calibri"/>
      <family val="2"/>
    </font>
    <font>
      <vertAlign val="subscript"/>
      <sz val="11.5"/>
      <color rgb="FF000000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0" fillId="0" borderId="0" xfId="0" applyBorder="1" applyAlignment="1"/>
    <xf numFmtId="0" fontId="1" fillId="0" borderId="1" xfId="0" applyFont="1" applyBorder="1" applyAlignment="1">
      <alignment vertical="center" wrapText="1"/>
    </xf>
    <xf numFmtId="21" fontId="1" fillId="0" borderId="5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21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12" xfId="0" applyBorder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horizontal="center" wrapText="1"/>
    </xf>
    <xf numFmtId="164" fontId="1" fillId="0" borderId="1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4" fontId="1" fillId="0" borderId="9" xfId="0" applyNumberFormat="1" applyFont="1" applyBorder="1" applyAlignment="1">
      <alignment horizontal="right" vertical="center" wrapText="1"/>
    </xf>
    <xf numFmtId="0" fontId="5" fillId="0" borderId="0" xfId="0" applyFont="1" applyBorder="1" applyAlignment="1"/>
    <xf numFmtId="0" fontId="0" fillId="0" borderId="0" xfId="0" applyBorder="1"/>
    <xf numFmtId="0" fontId="0" fillId="0" borderId="13" xfId="0" applyBorder="1"/>
    <xf numFmtId="0" fontId="0" fillId="0" borderId="15" xfId="0" applyBorder="1"/>
    <xf numFmtId="0" fontId="0" fillId="0" borderId="11" xfId="0" applyBorder="1"/>
    <xf numFmtId="0" fontId="0" fillId="0" borderId="24" xfId="0" applyBorder="1"/>
    <xf numFmtId="0" fontId="0" fillId="0" borderId="20" xfId="0" applyBorder="1"/>
    <xf numFmtId="0" fontId="0" fillId="0" borderId="16" xfId="0" applyBorder="1"/>
    <xf numFmtId="0" fontId="0" fillId="0" borderId="25" xfId="0" applyBorder="1"/>
    <xf numFmtId="0" fontId="0" fillId="0" borderId="25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0" xfId="0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0" fillId="0" borderId="14" xfId="0" applyFill="1" applyBorder="1"/>
    <xf numFmtId="0" fontId="0" fillId="0" borderId="26" xfId="0" applyBorder="1" applyAlignment="1">
      <alignment horizontal="center" wrapText="1"/>
    </xf>
    <xf numFmtId="0" fontId="1" fillId="0" borderId="10" xfId="0" applyFont="1" applyBorder="1" applyAlignment="1">
      <alignment vertical="center" wrapText="1"/>
    </xf>
    <xf numFmtId="0" fontId="0" fillId="0" borderId="28" xfId="0" applyBorder="1" applyAlignment="1">
      <alignment horizontal="right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/>
    <xf numFmtId="0" fontId="0" fillId="0" borderId="32" xfId="0" applyBorder="1" applyAlignment="1">
      <alignment vertical="center"/>
    </xf>
    <xf numFmtId="0" fontId="0" fillId="0" borderId="33" xfId="0" applyBorder="1" applyAlignment="1">
      <alignment horizontal="right" vertical="center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/>
    <xf numFmtId="0" fontId="0" fillId="0" borderId="36" xfId="0" applyBorder="1" applyAlignment="1">
      <alignment horizontal="right" vertical="center"/>
    </xf>
    <xf numFmtId="0" fontId="0" fillId="0" borderId="27" xfId="0" applyBorder="1"/>
    <xf numFmtId="0" fontId="0" fillId="0" borderId="18" xfId="0" applyBorder="1"/>
    <xf numFmtId="21" fontId="1" fillId="0" borderId="1" xfId="0" applyNumberFormat="1" applyFont="1" applyBorder="1" applyAlignment="1">
      <alignment vertical="center" wrapText="1"/>
    </xf>
    <xf numFmtId="21" fontId="1" fillId="0" borderId="37" xfId="0" applyNumberFormat="1" applyFont="1" applyBorder="1" applyAlignment="1">
      <alignment vertical="center" wrapText="1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0" fillId="0" borderId="24" xfId="0" applyNumberFormat="1" applyBorder="1" applyAlignment="1">
      <alignment horizontal="left" vertical="center"/>
    </xf>
    <xf numFmtId="14" fontId="0" fillId="0" borderId="20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764324230702113"/>
          <c:y val="0.24112368426600156"/>
          <c:w val="0.66744476604144554"/>
          <c:h val="0.56137114821541689"/>
        </c:manualLayout>
      </c:layout>
      <c:scatterChart>
        <c:scatterStyle val="lineMarker"/>
        <c:varyColors val="0"/>
        <c:ser>
          <c:idx val="0"/>
          <c:order val="0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sheet'!$E$14:$E$23</c:f>
              <c:numCache>
                <c:formatCode>0.0</c:formatCode>
                <c:ptCount val="10"/>
                <c:pt idx="0">
                  <c:v>1.75</c:v>
                </c:pt>
                <c:pt idx="1">
                  <c:v>7.9543209876543219</c:v>
                </c:pt>
                <c:pt idx="2">
                  <c:v>9.9885245901639355</c:v>
                </c:pt>
                <c:pt idx="3">
                  <c:v>14.007317073170734</c:v>
                </c:pt>
                <c:pt idx="4">
                  <c:v>25.680952380952384</c:v>
                </c:pt>
                <c:pt idx="5">
                  <c:v>33.159375000000004</c:v>
                </c:pt>
                <c:pt idx="6">
                  <c:v>60.873529411764714</c:v>
                </c:pt>
                <c:pt idx="7">
                  <c:v>102.26</c:v>
                </c:pt>
                <c:pt idx="8">
                  <c:v>297.36764705882354</c:v>
                </c:pt>
                <c:pt idx="9">
                  <c:v>504.3</c:v>
                </c:pt>
              </c:numCache>
            </c:numRef>
          </c:xVal>
          <c:yVal>
            <c:numRef>
              <c:f>'data sheet'!$I$14:$I$23</c:f>
              <c:numCache>
                <c:formatCode>General</c:formatCode>
                <c:ptCount val="10"/>
                <c:pt idx="0">
                  <c:v>1.7649999999999999</c:v>
                </c:pt>
                <c:pt idx="1">
                  <c:v>7.58</c:v>
                </c:pt>
                <c:pt idx="2">
                  <c:v>9.4902999999999995</c:v>
                </c:pt>
                <c:pt idx="3">
                  <c:v>13.6814</c:v>
                </c:pt>
                <c:pt idx="4">
                  <c:v>24.613700000000001</c:v>
                </c:pt>
                <c:pt idx="5">
                  <c:v>32.070799999999998</c:v>
                </c:pt>
                <c:pt idx="6">
                  <c:v>56.258000000000003</c:v>
                </c:pt>
                <c:pt idx="7">
                  <c:v>92.58</c:v>
                </c:pt>
                <c:pt idx="8">
                  <c:v>261.0754</c:v>
                </c:pt>
                <c:pt idx="9">
                  <c:v>439.43049999999999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4-48DF-BE9C-479C2CF19966}"/>
            </c:ext>
          </c:extLst>
        </c:ser>
        <c:ser>
          <c:idx val="1"/>
          <c:order val="1"/>
          <c:tx>
            <c:v>1:1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63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'data sheet'!$E$14:$E$23</c:f>
              <c:numCache>
                <c:formatCode>0.0</c:formatCode>
                <c:ptCount val="10"/>
                <c:pt idx="0">
                  <c:v>1.75</c:v>
                </c:pt>
                <c:pt idx="1">
                  <c:v>7.9543209876543219</c:v>
                </c:pt>
                <c:pt idx="2">
                  <c:v>9.9885245901639355</c:v>
                </c:pt>
                <c:pt idx="3">
                  <c:v>14.007317073170734</c:v>
                </c:pt>
                <c:pt idx="4">
                  <c:v>25.680952380952384</c:v>
                </c:pt>
                <c:pt idx="5">
                  <c:v>33.159375000000004</c:v>
                </c:pt>
                <c:pt idx="6">
                  <c:v>60.873529411764714</c:v>
                </c:pt>
                <c:pt idx="7">
                  <c:v>102.26</c:v>
                </c:pt>
                <c:pt idx="8">
                  <c:v>297.36764705882354</c:v>
                </c:pt>
                <c:pt idx="9">
                  <c:v>504.3</c:v>
                </c:pt>
              </c:numCache>
            </c:numRef>
          </c:xVal>
          <c:yVal>
            <c:numRef>
              <c:f>'data sheet'!$E$14:$E$23</c:f>
              <c:numCache>
                <c:formatCode>0.0</c:formatCode>
                <c:ptCount val="10"/>
                <c:pt idx="0">
                  <c:v>1.75</c:v>
                </c:pt>
                <c:pt idx="1">
                  <c:v>7.9543209876543219</c:v>
                </c:pt>
                <c:pt idx="2">
                  <c:v>9.9885245901639355</c:v>
                </c:pt>
                <c:pt idx="3">
                  <c:v>14.007317073170734</c:v>
                </c:pt>
                <c:pt idx="4">
                  <c:v>25.680952380952384</c:v>
                </c:pt>
                <c:pt idx="5">
                  <c:v>33.159375000000004</c:v>
                </c:pt>
                <c:pt idx="6">
                  <c:v>60.873529411764714</c:v>
                </c:pt>
                <c:pt idx="7">
                  <c:v>102.26</c:v>
                </c:pt>
                <c:pt idx="8">
                  <c:v>297.36764705882354</c:v>
                </c:pt>
                <c:pt idx="9">
                  <c:v>504.3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44-48DF-BE9C-479C2CF19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932072"/>
        <c:axId val="542932400"/>
      </c:scatterChart>
      <c:valAx>
        <c:axId val="54293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Known (ppm)</a:t>
                </a:r>
              </a:p>
            </c:rich>
          </c:tx>
          <c:layout>
            <c:manualLayout>
              <c:xMode val="edge"/>
              <c:yMode val="edge"/>
              <c:x val="0.4329374513415904"/>
              <c:y val="0.89047967220790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32400"/>
        <c:crosses val="autoZero"/>
        <c:crossBetween val="midCat"/>
      </c:valAx>
      <c:valAx>
        <c:axId val="5429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/>
                  <a:t>Observed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32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9999847687482564E-2"/>
          <c:y val="0.12516101688333445"/>
          <c:w val="0.89999973874241035"/>
          <c:h val="0.100471018596179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82895888013994"/>
          <c:y val="0.21355849787276257"/>
          <c:w val="0.74349037620297465"/>
          <c:h val="0.64913664024475182"/>
        </c:manualLayout>
      </c:layout>
      <c:scatterChart>
        <c:scatterStyle val="lineMarker"/>
        <c:varyColors val="0"/>
        <c:ser>
          <c:idx val="0"/>
          <c:order val="0"/>
          <c:tx>
            <c:v>CO2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sheet'!$F$14:$F$23</c:f>
              <c:numCache>
                <c:formatCode>0.0</c:formatCode>
                <c:ptCount val="10"/>
                <c:pt idx="0">
                  <c:v>302</c:v>
                </c:pt>
                <c:pt idx="1">
                  <c:v>304.51851851851853</c:v>
                </c:pt>
                <c:pt idx="2">
                  <c:v>305.34426229508199</c:v>
                </c:pt>
                <c:pt idx="3">
                  <c:v>306.97560975609758</c:v>
                </c:pt>
                <c:pt idx="4">
                  <c:v>311.71428571428572</c:v>
                </c:pt>
                <c:pt idx="5">
                  <c:v>314.75</c:v>
                </c:pt>
                <c:pt idx="6">
                  <c:v>326.00000000000006</c:v>
                </c:pt>
                <c:pt idx="7">
                  <c:v>342.8</c:v>
                </c:pt>
                <c:pt idx="8">
                  <c:v>422</c:v>
                </c:pt>
                <c:pt idx="9">
                  <c:v>506</c:v>
                </c:pt>
              </c:numCache>
            </c:numRef>
          </c:xVal>
          <c:yVal>
            <c:numRef>
              <c:f>'data sheet'!$J$14:$J$23</c:f>
              <c:numCache>
                <c:formatCode>General</c:formatCode>
                <c:ptCount val="10"/>
                <c:pt idx="0">
                  <c:v>295.64999999999998</c:v>
                </c:pt>
                <c:pt idx="1">
                  <c:v>297.08999999999997</c:v>
                </c:pt>
                <c:pt idx="2">
                  <c:v>298.79000000000002</c:v>
                </c:pt>
                <c:pt idx="3">
                  <c:v>299.63</c:v>
                </c:pt>
                <c:pt idx="4">
                  <c:v>304.93</c:v>
                </c:pt>
                <c:pt idx="5">
                  <c:v>307.36</c:v>
                </c:pt>
                <c:pt idx="6">
                  <c:v>318.41000000000003</c:v>
                </c:pt>
                <c:pt idx="7">
                  <c:v>337.30099999999999</c:v>
                </c:pt>
                <c:pt idx="8">
                  <c:v>414.12</c:v>
                </c:pt>
                <c:pt idx="9">
                  <c:v>496.95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5-4500-A573-6AB751A6EC81}"/>
            </c:ext>
          </c:extLst>
        </c:ser>
        <c:ser>
          <c:idx val="1"/>
          <c:order val="1"/>
          <c:tx>
            <c:v>1:1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63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xVal>
            <c:numRef>
              <c:f>'data sheet'!$F$14:$F$23</c:f>
              <c:numCache>
                <c:formatCode>0.0</c:formatCode>
                <c:ptCount val="10"/>
                <c:pt idx="0">
                  <c:v>302</c:v>
                </c:pt>
                <c:pt idx="1">
                  <c:v>304.51851851851853</c:v>
                </c:pt>
                <c:pt idx="2">
                  <c:v>305.34426229508199</c:v>
                </c:pt>
                <c:pt idx="3">
                  <c:v>306.97560975609758</c:v>
                </c:pt>
                <c:pt idx="4">
                  <c:v>311.71428571428572</c:v>
                </c:pt>
                <c:pt idx="5">
                  <c:v>314.75</c:v>
                </c:pt>
                <c:pt idx="6">
                  <c:v>326.00000000000006</c:v>
                </c:pt>
                <c:pt idx="7">
                  <c:v>342.8</c:v>
                </c:pt>
                <c:pt idx="8">
                  <c:v>422</c:v>
                </c:pt>
                <c:pt idx="9">
                  <c:v>506</c:v>
                </c:pt>
              </c:numCache>
            </c:numRef>
          </c:xVal>
          <c:yVal>
            <c:numRef>
              <c:f>'data sheet'!$F$14:$F$23</c:f>
              <c:numCache>
                <c:formatCode>0.0</c:formatCode>
                <c:ptCount val="10"/>
                <c:pt idx="0">
                  <c:v>302</c:v>
                </c:pt>
                <c:pt idx="1">
                  <c:v>304.51851851851853</c:v>
                </c:pt>
                <c:pt idx="2">
                  <c:v>305.34426229508199</c:v>
                </c:pt>
                <c:pt idx="3">
                  <c:v>306.97560975609758</c:v>
                </c:pt>
                <c:pt idx="4">
                  <c:v>311.71428571428572</c:v>
                </c:pt>
                <c:pt idx="5">
                  <c:v>314.75</c:v>
                </c:pt>
                <c:pt idx="6">
                  <c:v>326.00000000000006</c:v>
                </c:pt>
                <c:pt idx="7">
                  <c:v>342.8</c:v>
                </c:pt>
                <c:pt idx="8">
                  <c:v>422</c:v>
                </c:pt>
                <c:pt idx="9">
                  <c:v>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75-4500-A573-6AB751A6E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932072"/>
        <c:axId val="542932400"/>
      </c:scatterChart>
      <c:valAx>
        <c:axId val="54293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Known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32400"/>
        <c:crosses val="autoZero"/>
        <c:crossBetween val="midCat"/>
      </c:valAx>
      <c:valAx>
        <c:axId val="5429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32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9447069116360453E-2"/>
          <c:y val="0.12983318778235306"/>
          <c:w val="0.95657949038060741"/>
          <c:h val="8.440123547852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10</xdr:row>
      <xdr:rowOff>158750</xdr:rowOff>
    </xdr:from>
    <xdr:to>
      <xdr:col>13</xdr:col>
      <xdr:colOff>419100</xdr:colOff>
      <xdr:row>16</xdr:row>
      <xdr:rowOff>166158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4F0F3-5EFF-44C0-B545-F34C23DBF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74083</xdr:colOff>
      <xdr:row>16</xdr:row>
      <xdr:rowOff>232833</xdr:rowOff>
    </xdr:from>
    <xdr:to>
      <xdr:col>13</xdr:col>
      <xdr:colOff>413542</xdr:colOff>
      <xdr:row>22</xdr:row>
      <xdr:rowOff>273314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8B9DDD-3E3B-42D8-A734-75123A193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9D3F-DE5E-4071-8A72-611B3554700C}">
  <dimension ref="A1:O26"/>
  <sheetViews>
    <sheetView tabSelected="1" zoomScale="90" zoomScaleNormal="90" workbookViewId="0">
      <selection activeCell="Q13" sqref="Q13"/>
    </sheetView>
  </sheetViews>
  <sheetFormatPr defaultRowHeight="15" x14ac:dyDescent="0.25"/>
  <cols>
    <col min="1" max="1" width="7.140625" customWidth="1"/>
    <col min="2" max="2" width="5.140625" customWidth="1"/>
    <col min="3" max="3" width="4.42578125" customWidth="1"/>
    <col min="4" max="4" width="6.5703125" customWidth="1"/>
    <col min="5" max="5" width="7.28515625" customWidth="1"/>
    <col min="6" max="6" width="7.7109375" customWidth="1"/>
    <col min="7" max="8" width="10.7109375" customWidth="1"/>
    <col min="9" max="10" width="8.7109375" customWidth="1"/>
    <col min="11" max="11" width="15.7109375" customWidth="1"/>
    <col min="12" max="12" width="8.7109375" customWidth="1"/>
    <col min="13" max="13" width="10.7109375" customWidth="1"/>
    <col min="14" max="15" width="8.7109375" customWidth="1"/>
  </cols>
  <sheetData>
    <row r="1" spans="1:15" ht="23.25" x14ac:dyDescent="0.35">
      <c r="A1" s="57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5" ht="15.75" customHeight="1" thickBot="1" x14ac:dyDescent="0.3"/>
    <row r="3" spans="1:15" ht="15.95" customHeight="1" x14ac:dyDescent="0.3">
      <c r="A3" s="54" t="s">
        <v>17</v>
      </c>
      <c r="B3" s="55"/>
      <c r="C3" s="55"/>
      <c r="D3" s="55"/>
      <c r="E3" s="55"/>
      <c r="F3" s="55"/>
      <c r="G3" s="56"/>
      <c r="H3" s="54" t="s">
        <v>12</v>
      </c>
      <c r="I3" s="55"/>
      <c r="J3" s="55"/>
      <c r="K3" s="55"/>
      <c r="L3" s="55"/>
      <c r="M3" s="56"/>
      <c r="N3" s="23"/>
      <c r="O3" s="23"/>
    </row>
    <row r="4" spans="1:15" ht="15.95" customHeight="1" x14ac:dyDescent="0.25">
      <c r="A4" s="31" t="s">
        <v>3</v>
      </c>
      <c r="B4" s="28"/>
      <c r="C4" s="28"/>
      <c r="D4" s="28" t="s">
        <v>19</v>
      </c>
      <c r="E4" s="28"/>
      <c r="F4" s="28"/>
      <c r="G4" s="29"/>
      <c r="H4" s="48"/>
      <c r="I4" s="37" t="s">
        <v>11</v>
      </c>
      <c r="J4" s="18" t="s">
        <v>20</v>
      </c>
      <c r="K4" s="27" t="s">
        <v>6</v>
      </c>
      <c r="L4" s="28"/>
      <c r="M4" s="29"/>
      <c r="N4" s="24"/>
      <c r="O4" s="24"/>
    </row>
    <row r="5" spans="1:15" s="16" customFormat="1" ht="15.95" customHeight="1" x14ac:dyDescent="0.25">
      <c r="A5" s="32" t="s">
        <v>4</v>
      </c>
      <c r="B5" s="61">
        <v>43581</v>
      </c>
      <c r="C5" s="61"/>
      <c r="D5" s="61"/>
      <c r="E5" s="61"/>
      <c r="F5" s="61"/>
      <c r="G5" s="62"/>
      <c r="H5" s="39" t="s">
        <v>25</v>
      </c>
      <c r="I5" s="40">
        <v>1.75</v>
      </c>
      <c r="J5" s="40">
        <v>302</v>
      </c>
      <c r="K5" s="41" t="s">
        <v>29</v>
      </c>
      <c r="L5" s="42"/>
      <c r="M5" s="43"/>
      <c r="N5" s="17"/>
      <c r="O5" s="17"/>
    </row>
    <row r="6" spans="1:15" s="16" customFormat="1" ht="15.95" customHeight="1" x14ac:dyDescent="0.25">
      <c r="A6" s="32" t="s">
        <v>13</v>
      </c>
      <c r="B6" s="33" t="s">
        <v>28</v>
      </c>
      <c r="C6" s="33"/>
      <c r="D6" s="33"/>
      <c r="E6" s="33"/>
      <c r="F6" s="33"/>
      <c r="G6" s="34"/>
      <c r="H6" s="44"/>
      <c r="I6" s="45"/>
      <c r="J6" s="45"/>
      <c r="K6" s="46"/>
      <c r="L6" s="15"/>
      <c r="M6" s="47"/>
      <c r="N6" s="17"/>
      <c r="O6" s="17"/>
    </row>
    <row r="7" spans="1:15" ht="15.95" customHeight="1" x14ac:dyDescent="0.25">
      <c r="A7" s="31" t="s">
        <v>21</v>
      </c>
      <c r="B7" s="28"/>
      <c r="C7" s="28"/>
      <c r="D7" s="28"/>
      <c r="E7" s="28"/>
      <c r="F7" s="28"/>
      <c r="G7" s="29"/>
      <c r="H7" s="49" t="s">
        <v>26</v>
      </c>
      <c r="I7" s="40">
        <v>504.3</v>
      </c>
      <c r="J7" s="40">
        <v>506</v>
      </c>
      <c r="K7" s="24" t="s">
        <v>30</v>
      </c>
      <c r="L7" s="24"/>
      <c r="M7" s="25"/>
    </row>
    <row r="8" spans="1:15" ht="15.95" customHeight="1" thickBot="1" x14ac:dyDescent="0.3">
      <c r="A8" s="31" t="s">
        <v>22</v>
      </c>
      <c r="B8" s="28"/>
      <c r="C8" s="28"/>
      <c r="D8" s="28"/>
      <c r="E8" s="28"/>
      <c r="F8" s="28"/>
      <c r="G8" s="29"/>
      <c r="H8" s="50"/>
      <c r="I8" s="51"/>
      <c r="J8" s="51"/>
      <c r="K8" s="26"/>
      <c r="L8" s="26"/>
      <c r="M8" s="30"/>
    </row>
    <row r="9" spans="1:15" ht="15.75" thickBot="1" x14ac:dyDescent="0.3">
      <c r="A9" s="36" t="s">
        <v>27</v>
      </c>
      <c r="B9" s="26"/>
      <c r="C9" s="26"/>
      <c r="D9" s="26"/>
      <c r="E9" s="26"/>
      <c r="F9" s="26"/>
      <c r="G9" s="30"/>
    </row>
    <row r="11" spans="1:15" ht="15.75" thickBot="1" x14ac:dyDescent="0.3"/>
    <row r="12" spans="1:15" ht="18.75" x14ac:dyDescent="0.3">
      <c r="A12" s="58" t="s">
        <v>7</v>
      </c>
      <c r="B12" s="59"/>
      <c r="C12" s="59"/>
      <c r="D12" s="59"/>
      <c r="E12" s="59"/>
      <c r="F12" s="60"/>
      <c r="G12" s="54" t="s">
        <v>8</v>
      </c>
      <c r="H12" s="55"/>
      <c r="I12" s="55"/>
      <c r="J12" s="56"/>
      <c r="K12" s="23"/>
      <c r="L12" s="23"/>
    </row>
    <row r="13" spans="1:15" ht="33" customHeight="1" x14ac:dyDescent="0.25">
      <c r="A13" s="4" t="s">
        <v>0</v>
      </c>
      <c r="B13" s="2" t="s">
        <v>14</v>
      </c>
      <c r="C13" s="2" t="s">
        <v>15</v>
      </c>
      <c r="D13" s="2" t="s">
        <v>16</v>
      </c>
      <c r="E13" s="2" t="s">
        <v>9</v>
      </c>
      <c r="F13" s="5" t="s">
        <v>10</v>
      </c>
      <c r="G13" s="4" t="s">
        <v>1</v>
      </c>
      <c r="H13" s="2" t="s">
        <v>2</v>
      </c>
      <c r="I13" s="2" t="s">
        <v>23</v>
      </c>
      <c r="J13" s="5" t="s">
        <v>24</v>
      </c>
      <c r="K13" s="38"/>
      <c r="L13" s="1"/>
    </row>
    <row r="14" spans="1:15" ht="24.95" customHeight="1" x14ac:dyDescent="0.25">
      <c r="A14" s="6">
        <v>1</v>
      </c>
      <c r="B14" s="3">
        <v>0.9</v>
      </c>
      <c r="C14" s="3">
        <v>0</v>
      </c>
      <c r="D14" s="3">
        <f>B14+C14</f>
        <v>0.9</v>
      </c>
      <c r="E14" s="19">
        <f>(B14*$I$5+C14*$I$7)/(B14+C14)</f>
        <v>1.75</v>
      </c>
      <c r="F14" s="21">
        <f>(B14*$J$5+C14*$J$7)/(B14+C14)</f>
        <v>302</v>
      </c>
      <c r="G14" s="11">
        <v>0.64671296296296299</v>
      </c>
      <c r="H14" s="52">
        <v>0.65005787037037044</v>
      </c>
      <c r="I14" s="10">
        <v>1.7649999999999999</v>
      </c>
      <c r="J14" s="12">
        <v>295.64999999999998</v>
      </c>
      <c r="K14" s="9"/>
      <c r="L14" s="9"/>
    </row>
    <row r="15" spans="1:15" ht="24.95" customHeight="1" x14ac:dyDescent="0.25">
      <c r="A15" s="6">
        <v>2</v>
      </c>
      <c r="B15" s="3">
        <v>4</v>
      </c>
      <c r="C15" s="3">
        <v>0.05</v>
      </c>
      <c r="D15" s="3">
        <f t="shared" ref="D15:D23" si="0">B15+C15</f>
        <v>4.05</v>
      </c>
      <c r="E15" s="19">
        <f t="shared" ref="E15:E23" si="1">(B15*$I$5+C15*$I$7)/(B15+C15)</f>
        <v>7.9543209876543219</v>
      </c>
      <c r="F15" s="21">
        <f t="shared" ref="F15:F23" si="2">(B15*$J$5+C15*$J$7)/(B15+C15)</f>
        <v>304.51851851851853</v>
      </c>
      <c r="G15" s="11">
        <v>0.65202546296296293</v>
      </c>
      <c r="H15" s="52">
        <v>0.65451388888888895</v>
      </c>
      <c r="I15" s="10">
        <v>7.58</v>
      </c>
      <c r="J15" s="12">
        <v>297.08999999999997</v>
      </c>
      <c r="K15" s="9"/>
      <c r="L15" s="9"/>
    </row>
    <row r="16" spans="1:15" ht="24.95" customHeight="1" x14ac:dyDescent="0.25">
      <c r="A16" s="6">
        <v>3</v>
      </c>
      <c r="B16" s="3">
        <v>3</v>
      </c>
      <c r="C16" s="3">
        <v>0.05</v>
      </c>
      <c r="D16" s="3">
        <f t="shared" si="0"/>
        <v>3.05</v>
      </c>
      <c r="E16" s="19">
        <f t="shared" si="1"/>
        <v>9.9885245901639355</v>
      </c>
      <c r="F16" s="21">
        <f t="shared" si="2"/>
        <v>305.34426229508199</v>
      </c>
      <c r="G16" s="11">
        <v>0.65486111111111112</v>
      </c>
      <c r="H16" s="52">
        <v>0.65787037037037044</v>
      </c>
      <c r="I16" s="10">
        <v>9.4902999999999995</v>
      </c>
      <c r="J16" s="12">
        <v>298.79000000000002</v>
      </c>
      <c r="K16" s="9"/>
      <c r="L16" s="9"/>
    </row>
    <row r="17" spans="1:12" ht="24.95" customHeight="1" x14ac:dyDescent="0.25">
      <c r="A17" s="6">
        <v>4</v>
      </c>
      <c r="B17" s="3">
        <v>2</v>
      </c>
      <c r="C17" s="3">
        <v>0.05</v>
      </c>
      <c r="D17" s="3">
        <f t="shared" si="0"/>
        <v>2.0499999999999998</v>
      </c>
      <c r="E17" s="19">
        <f t="shared" si="1"/>
        <v>14.007317073170734</v>
      </c>
      <c r="F17" s="21">
        <f t="shared" si="2"/>
        <v>306.97560975609758</v>
      </c>
      <c r="G17" s="11">
        <v>0.65798611111111105</v>
      </c>
      <c r="H17" s="52">
        <v>0.66047453703703707</v>
      </c>
      <c r="I17" s="10">
        <v>13.6814</v>
      </c>
      <c r="J17" s="12">
        <v>299.63</v>
      </c>
      <c r="K17" s="9"/>
      <c r="L17" s="9"/>
    </row>
    <row r="18" spans="1:12" ht="24.95" customHeight="1" x14ac:dyDescent="0.25">
      <c r="A18" s="6">
        <v>5</v>
      </c>
      <c r="B18" s="3">
        <v>2</v>
      </c>
      <c r="C18" s="3">
        <v>0.1</v>
      </c>
      <c r="D18" s="3">
        <f t="shared" si="0"/>
        <v>2.1</v>
      </c>
      <c r="E18" s="19">
        <f t="shared" si="1"/>
        <v>25.680952380952384</v>
      </c>
      <c r="F18" s="21">
        <f t="shared" si="2"/>
        <v>311.71428571428572</v>
      </c>
      <c r="G18" s="11">
        <v>0.66053240740740737</v>
      </c>
      <c r="H18" s="52">
        <v>0.66435185185185186</v>
      </c>
      <c r="I18" s="10">
        <v>24.613700000000001</v>
      </c>
      <c r="J18" s="12">
        <v>304.93</v>
      </c>
      <c r="K18" s="9"/>
      <c r="L18" s="9"/>
    </row>
    <row r="19" spans="1:12" ht="24.95" customHeight="1" x14ac:dyDescent="0.25">
      <c r="A19" s="6">
        <v>6</v>
      </c>
      <c r="B19" s="3">
        <v>1.5</v>
      </c>
      <c r="C19" s="3">
        <v>0.1</v>
      </c>
      <c r="D19" s="3">
        <f t="shared" si="0"/>
        <v>1.6</v>
      </c>
      <c r="E19" s="19">
        <f t="shared" si="1"/>
        <v>33.159375000000004</v>
      </c>
      <c r="F19" s="21">
        <f t="shared" si="2"/>
        <v>314.75</v>
      </c>
      <c r="G19" s="11">
        <v>0.66446759259259258</v>
      </c>
      <c r="H19" s="52">
        <v>0.66678240740740735</v>
      </c>
      <c r="I19" s="10">
        <v>32.070799999999998</v>
      </c>
      <c r="J19" s="12">
        <v>307.36</v>
      </c>
      <c r="K19" s="9"/>
      <c r="L19" s="9"/>
    </row>
    <row r="20" spans="1:12" ht="24.95" customHeight="1" x14ac:dyDescent="0.25">
      <c r="A20" s="6">
        <v>7</v>
      </c>
      <c r="B20" s="3">
        <v>1.5</v>
      </c>
      <c r="C20" s="3">
        <v>0.2</v>
      </c>
      <c r="D20" s="3">
        <f t="shared" si="0"/>
        <v>1.7</v>
      </c>
      <c r="E20" s="19">
        <f t="shared" si="1"/>
        <v>60.873529411764714</v>
      </c>
      <c r="F20" s="21">
        <f t="shared" si="2"/>
        <v>326.00000000000006</v>
      </c>
      <c r="G20" s="11">
        <v>0.66701388888888891</v>
      </c>
      <c r="H20" s="52">
        <v>0.66927083333333337</v>
      </c>
      <c r="I20" s="10">
        <v>56.258000000000003</v>
      </c>
      <c r="J20" s="12">
        <v>318.41000000000003</v>
      </c>
      <c r="K20" s="9"/>
      <c r="L20" s="9"/>
    </row>
    <row r="21" spans="1:12" ht="24.95" customHeight="1" x14ac:dyDescent="0.25">
      <c r="A21" s="6">
        <v>8</v>
      </c>
      <c r="B21" s="3">
        <v>1</v>
      </c>
      <c r="C21" s="3">
        <v>0.25</v>
      </c>
      <c r="D21" s="3">
        <f t="shared" si="0"/>
        <v>1.25</v>
      </c>
      <c r="E21" s="19">
        <f t="shared" si="1"/>
        <v>102.26</v>
      </c>
      <c r="F21" s="21">
        <f t="shared" si="2"/>
        <v>342.8</v>
      </c>
      <c r="G21" s="11">
        <v>0.66979166666666667</v>
      </c>
      <c r="H21" s="52">
        <v>0.67237268518518523</v>
      </c>
      <c r="I21" s="10">
        <v>92.58</v>
      </c>
      <c r="J21" s="12">
        <v>337.30099999999999</v>
      </c>
      <c r="K21" s="9"/>
      <c r="L21" s="9"/>
    </row>
    <row r="22" spans="1:12" ht="24.95" customHeight="1" x14ac:dyDescent="0.25">
      <c r="A22" s="6">
        <v>9</v>
      </c>
      <c r="B22" s="3">
        <v>0.7</v>
      </c>
      <c r="C22" s="3">
        <v>1</v>
      </c>
      <c r="D22" s="3">
        <f t="shared" si="0"/>
        <v>1.7</v>
      </c>
      <c r="E22" s="19">
        <f t="shared" si="1"/>
        <v>297.36764705882354</v>
      </c>
      <c r="F22" s="21">
        <f t="shared" si="2"/>
        <v>422</v>
      </c>
      <c r="G22" s="11">
        <v>0.67329861111111111</v>
      </c>
      <c r="H22" s="52">
        <v>0.67585648148148147</v>
      </c>
      <c r="I22" s="10">
        <v>261.0754</v>
      </c>
      <c r="J22" s="12">
        <v>414.12</v>
      </c>
      <c r="K22" s="9"/>
      <c r="L22" s="9"/>
    </row>
    <row r="23" spans="1:12" ht="24.95" customHeight="1" thickBot="1" x14ac:dyDescent="0.3">
      <c r="A23" s="7">
        <v>10</v>
      </c>
      <c r="B23" s="8">
        <v>0</v>
      </c>
      <c r="C23" s="8">
        <v>0.9</v>
      </c>
      <c r="D23" s="8">
        <f t="shared" si="0"/>
        <v>0.9</v>
      </c>
      <c r="E23" s="20">
        <f t="shared" si="1"/>
        <v>504.3</v>
      </c>
      <c r="F23" s="22">
        <f t="shared" si="2"/>
        <v>506</v>
      </c>
      <c r="G23" s="13">
        <v>0.67604166666666676</v>
      </c>
      <c r="H23" s="53">
        <v>0.67930555555555561</v>
      </c>
      <c r="I23" s="14">
        <v>439.43049999999999</v>
      </c>
      <c r="J23" s="35">
        <v>496.95</v>
      </c>
      <c r="K23" s="9"/>
      <c r="L23" s="9"/>
    </row>
    <row r="26" spans="1:12" ht="15" customHeight="1" x14ac:dyDescent="0.25"/>
  </sheetData>
  <mergeCells count="6">
    <mergeCell ref="A3:G3"/>
    <mergeCell ref="A1:M1"/>
    <mergeCell ref="H3:M3"/>
    <mergeCell ref="A12:F12"/>
    <mergeCell ref="G12:J12"/>
    <mergeCell ref="B5:G5"/>
  </mergeCell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150C0B-1057-4B57-B32B-5D1DE28AAF17}">
          <x14:formula1>
            <xm:f>'dropdown list'!$A$4:$A$5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0676-A726-4E9C-8F5D-40D6441520EB}">
  <dimension ref="A4:A5"/>
  <sheetViews>
    <sheetView topLeftCell="A4" workbookViewId="0">
      <selection activeCell="B11" sqref="B11"/>
    </sheetView>
  </sheetViews>
  <sheetFormatPr defaultRowHeight="15" x14ac:dyDescent="0.25"/>
  <sheetData>
    <row r="4" spans="1:1" x14ac:dyDescent="0.25">
      <c r="A4" t="s">
        <v>18</v>
      </c>
    </row>
    <row r="5" spans="1:1" x14ac:dyDescent="0.25">
      <c r="A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sheet</vt:lpstr>
      <vt:lpstr>dropdown list</vt:lpstr>
      <vt:lpstr>'data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Balz, Adam</dc:creator>
  <cp:lastModifiedBy>Beaulieu, Jake</cp:lastModifiedBy>
  <cp:lastPrinted>2019-08-27T17:15:00Z</cp:lastPrinted>
  <dcterms:created xsi:type="dcterms:W3CDTF">2019-01-31T14:38:38Z</dcterms:created>
  <dcterms:modified xsi:type="dcterms:W3CDTF">2019-08-27T17:52:36Z</dcterms:modified>
</cp:coreProperties>
</file>