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August2018/"/>
    </mc:Choice>
  </mc:AlternateContent>
  <xr:revisionPtr revIDLastSave="736" documentId="8_{76721441-BF72-4379-A47D-7974A8CADA30}" xr6:coauthVersionLast="47" xr6:coauthVersionMax="47" xr10:uidLastSave="{F55BFCB2-56AE-4E70-A8AC-1BFF6608AE97}"/>
  <bookViews>
    <workbookView xWindow="-110" yWindow="-110" windowWidth="19420" windowHeight="10300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6" i="1"/>
</calcChain>
</file>

<file path=xl/sharedStrings.xml><?xml version="1.0" encoding="utf-8"?>
<sst xmlns="http://schemas.openxmlformats.org/spreadsheetml/2006/main" count="562" uniqueCount="247">
  <si>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</si>
  <si>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</si>
  <si>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</si>
  <si>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</si>
  <si>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</si>
  <si>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</si>
  <si>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</si>
  <si>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</si>
  <si>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</si>
  <si>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</si>
  <si>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</si>
  <si>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</si>
  <si>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</si>
  <si>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</si>
  <si>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</si>
  <si>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</si>
  <si>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</si>
  <si>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</si>
  <si>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</si>
  <si>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</si>
  <si>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</si>
  <si>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</si>
  <si>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</si>
  <si>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</si>
  <si>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</si>
  <si>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</si>
  <si>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</si>
  <si>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</si>
  <si>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</si>
  <si>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</si>
  <si>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</si>
  <si>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</si>
  <si>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</si>
  <si>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</si>
  <si>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</si>
  <si>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</si>
  <si>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</si>
  <si>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</si>
  <si>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</si>
  <si>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</si>
  <si>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</si>
  <si>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</si>
  <si>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</si>
  <si>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</si>
  <si>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</si>
  <si>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</si>
  <si>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</si>
  <si>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</si>
  <si>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</si>
  <si>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</si>
  <si>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</si>
  <si>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</si>
  <si>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</si>
  <si>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</si>
  <si>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</si>
  <si>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</si>
  <si>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</si>
  <si>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</si>
  <si>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</si>
  <si>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</si>
  <si>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</si>
  <si>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</si>
  <si>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</si>
  <si>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</si>
  <si>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</si>
  <si>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</si>
  <si>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</si>
  <si>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</si>
  <si>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</si>
  <si>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</si>
  <si>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</si>
  <si>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</si>
  <si>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</si>
  <si>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</si>
  <si>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</si>
  <si>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</si>
  <si>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</si>
  <si>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</si>
  <si>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</si>
  <si>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</si>
  <si>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</si>
  <si>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</si>
  <si>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</si>
  <si>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</si>
  <si>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</si>
  <si>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</si>
  <si>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</si>
  <si>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</si>
  <si>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</si>
  <si>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</si>
  <si>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</si>
  <si>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</si>
  <si>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</si>
  <si>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</si>
  <si>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</si>
  <si>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</si>
  <si>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</si>
  <si>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</si>
  <si>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</si>
  <si>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</si>
  <si>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</si>
  <si>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</si>
  <si>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</si>
  <si>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</si>
  <si>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</si>
  <si>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</si>
  <si>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</si>
  <si>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</si>
  <si>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</si>
  <si>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</si>
  <si>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</si>
  <si>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</si>
  <si>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</si>
  <si>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</si>
  <si>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</si>
  <si>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</si>
  <si>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</si>
  <si>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</si>
  <si>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</si>
  <si>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</si>
  <si>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</si>
  <si>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</si>
  <si>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</si>
  <si>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</si>
  <si>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</si>
  <si>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</si>
  <si>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</si>
  <si>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</si>
  <si>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</si>
  <si>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</si>
  <si>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</si>
  <si>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</si>
  <si>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</si>
  <si>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</si>
  <si>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</si>
  <si>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</si>
  <si>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</si>
  <si>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</si>
  <si>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</si>
  <si>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</si>
  <si>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</si>
  <si>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</si>
  <si>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</si>
  <si>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</si>
  <si>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</si>
  <si>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</si>
  <si>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</si>
  <si>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</si>
  <si>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</si>
  <si>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</si>
  <si>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</si>
  <si>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</si>
  <si>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</si>
  <si>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</si>
  <si>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</si>
  <si>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</si>
  <si>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</si>
  <si>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</si>
  <si>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</si>
  <si>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</si>
  <si>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</si>
  <si>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</si>
  <si>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</si>
  <si>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</si>
  <si>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</si>
  <si>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</si>
  <si>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</si>
  <si>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</si>
  <si>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</si>
  <si>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</si>
  <si>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</si>
  <si>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</si>
  <si>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</si>
  <si>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</si>
  <si>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</si>
  <si>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</si>
  <si>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</si>
  <si>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</si>
  <si>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</si>
  <si>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</si>
  <si>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</si>
  <si>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total volume of gas recovered from trap. If there was no gas in trap = 0, if there was an issue with the trap (tube came off, ect.) = NA</t>
  </si>
  <si>
    <t>1033</t>
  </si>
  <si>
    <t>08212018.FL.42.BT.1</t>
  </si>
  <si>
    <t>08212018.FL.42.BT.2</t>
  </si>
  <si>
    <t>08212018.FL.42.DG.1</t>
  </si>
  <si>
    <t>08212018.FL.42.DG.2</t>
  </si>
  <si>
    <t>TS</t>
  </si>
  <si>
    <t>08212018.FL.50.BT.1</t>
  </si>
  <si>
    <t>08212018.FL.44.BT.1</t>
  </si>
  <si>
    <t>08212018.FL.56.BT.1</t>
  </si>
  <si>
    <t>08212018.FL.47.BT.1</t>
  </si>
  <si>
    <t>08212018.FL.54.BT.1</t>
  </si>
  <si>
    <t>08212018.FL.55.BT.1</t>
  </si>
  <si>
    <t>08212018.FL.41.BT.1</t>
  </si>
  <si>
    <t>08212018.FL.49.BT.1</t>
  </si>
  <si>
    <t>08212018.FL.45.BT.1</t>
  </si>
  <si>
    <t>08212018.FL.15.BT.1</t>
  </si>
  <si>
    <t>08212018.FL.21.BT.1</t>
  </si>
  <si>
    <t>08212018.FL.12.BT.1</t>
  </si>
  <si>
    <t>08212018.FL.02.BT.1</t>
  </si>
  <si>
    <t>08212018.FL.03.BT.1</t>
  </si>
  <si>
    <t>08212018.FL.08.BT.1</t>
  </si>
  <si>
    <t>08212018.FL.12.BT.2</t>
  </si>
  <si>
    <t>08212018.FL.12.BT.3</t>
  </si>
  <si>
    <t>08212018.FL.44.BT.2</t>
  </si>
  <si>
    <t>08212018.FL.56.BT.2</t>
  </si>
  <si>
    <t>08212018.FL.47.BT.2</t>
  </si>
  <si>
    <t>08212018.FL.49.BT.2</t>
  </si>
  <si>
    <t>08212018.FL.08.BT.2</t>
  </si>
  <si>
    <t>08212018.FL.21.BT.2</t>
  </si>
  <si>
    <t>08212018.FL.56.BT.3</t>
  </si>
  <si>
    <t>08212018.FL.49.BT.3</t>
  </si>
  <si>
    <t>08212018.FL.08.BT.3</t>
  </si>
  <si>
    <t>08212018.FL.21.BT.3</t>
  </si>
  <si>
    <t>08212018.FL.44.DG.1</t>
  </si>
  <si>
    <t>08212018.FL.43.DG.1</t>
  </si>
  <si>
    <t>08212018.FL.41.DG.1</t>
  </si>
  <si>
    <t>08212018.FL.04.DG.1</t>
  </si>
  <si>
    <t>08212018.FL.14.DG.1</t>
  </si>
  <si>
    <t>08212018.FL.15.DG.1</t>
  </si>
  <si>
    <t>08212018.FL.07.DG.1</t>
  </si>
  <si>
    <t>08212018.FL.01.DG.1</t>
  </si>
  <si>
    <t>08212018.FL.05.DG.1</t>
  </si>
  <si>
    <t>08212018.FL.02.DG.1</t>
  </si>
  <si>
    <t>08212018.FL.03.DG.1</t>
  </si>
  <si>
    <t>08212018.FL.44.DG.2</t>
  </si>
  <si>
    <t>08212018.FL.43.DG.2</t>
  </si>
  <si>
    <t>08212018.FL.41.DG.2</t>
  </si>
  <si>
    <t>08212018.FL.04.DG.2</t>
  </si>
  <si>
    <t>08212018.FL.14.DG.2</t>
  </si>
  <si>
    <t>08212018.FL.15.DG.2</t>
  </si>
  <si>
    <t>08212018.FL.07.DG.2</t>
  </si>
  <si>
    <t>08212018.FL.01.DG.2</t>
  </si>
  <si>
    <t>08212018.FL.05.DG.2</t>
  </si>
  <si>
    <t>08212018.FL.02.DG.2</t>
  </si>
  <si>
    <t>08212018.FL.03.DG.2</t>
  </si>
  <si>
    <t>08.20.2018</t>
  </si>
  <si>
    <t>08.21.2018</t>
  </si>
  <si>
    <t>09.05.2018</t>
  </si>
  <si>
    <t>Short period</t>
  </si>
  <si>
    <t>08212018.FL.02.AA.01</t>
  </si>
  <si>
    <t>08212018.FL.02.AA.02</t>
  </si>
  <si>
    <t>08212018.FL.02.AA.03</t>
  </si>
  <si>
    <t>08212018.FL.49.AA.01</t>
  </si>
  <si>
    <t>08212018.FL.49.AA.02</t>
  </si>
  <si>
    <t>08212018.FL.49.AA.03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</si>
</sst>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0" fontId="0" fillId="0" borderId="0" xfId="0" applyAlignment="1"/>
    <xf numFmtId="1" fontId="0" fillId="0" borderId="0" xfId="0" applyNumberFormat="1" applyAlignment="1">
      <alignment horizontal="left"/>
    </xf>
    <xf numFmtId="1" fontId="0" fillId="0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tabSelected="1" zoomScale="90" zoomScaleNormal="90" workbookViewId="0">
      <pane xSplit="2" topLeftCell="C1" activePane="topRight" state="frozen"/>
      <selection pane="topRight" activeCell="B4" sqref="B4:O4"/>
    </sheetView>
  </sheetViews>
  <sheetFormatPr defaultRowHeight="14.5" x14ac:dyDescent="0.35"/>
  <cols>
    <col min="1" max="1" width="6.36328125" style="25" bestFit="1" customWidth="1"/>
    <col min="2" max="2" width="5.6328125" bestFit="1" customWidth="1"/>
    <col min="3" max="3" width="10.54296875" bestFit="1" customWidth="1"/>
    <col min="4" max="4" width="12.36328125" customWidth="1"/>
    <col min="5" max="5" width="13.6328125" customWidth="1"/>
    <col min="6" max="7" width="13.54296875" bestFit="1" customWidth="1"/>
    <col min="8" max="9" width="12.453125" bestFit="1" customWidth="1"/>
    <col min="10" max="10" width="10.6328125" bestFit="1" customWidth="1"/>
    <col min="11" max="11" width="14.54296875" bestFit="1" customWidth="1"/>
    <col min="12" max="12" width="9.453125" bestFit="1" customWidth="1"/>
    <col min="13" max="13" width="14.6328125" bestFit="1" customWidth="1"/>
    <col min="14" max="14" width="9.453125" bestFit="1" customWidth="1"/>
    <col min="15" max="15" width="14.6328125" bestFit="1" customWidth="1"/>
    <col min="16" max="16" width="9.453125" bestFit="1" customWidth="1"/>
    <col min="17" max="17" width="14.6328125" bestFit="1" customWidth="1"/>
    <col min="18" max="18" width="17.36328125" bestFit="1" customWidth="1"/>
    <col min="19" max="19" width="17.453125" bestFit="1" customWidth="1"/>
    <col min="20" max="20" width="16.6328125" bestFit="1" customWidth="1"/>
    <col min="21" max="22" width="12.36328125" bestFit="1" customWidth="1"/>
    <col min="23" max="23" width="10.36328125" bestFit="1" customWidth="1"/>
    <col min="24" max="24" width="14.6328125" bestFit="1" customWidth="1"/>
    <col min="25" max="25" width="7.36328125" bestFit="1" customWidth="1"/>
    <col min="26" max="26" width="8" bestFit="1" customWidth="1"/>
    <col min="27" max="27" width="9.36328125" bestFit="1" customWidth="1"/>
    <col min="28" max="28" width="5" bestFit="1" customWidth="1"/>
    <col min="29" max="29" width="6.36328125" customWidth="1"/>
    <col min="30" max="30" width="10.36328125" customWidth="1"/>
    <col min="31" max="31" width="6.36328125" bestFit="1" customWidth="1"/>
    <col min="32" max="32" width="10.36328125" bestFit="1" customWidth="1"/>
    <col min="33" max="33" width="11" bestFit="1" customWidth="1"/>
    <col min="34" max="34" width="12.36328125" bestFit="1" customWidth="1"/>
    <col min="35" max="35" width="7.6328125" bestFit="1" customWidth="1"/>
    <col min="36" max="37" width="9.36328125" bestFit="1" customWidth="1"/>
    <col min="38" max="38" width="16.36328125" bestFit="1" customWidth="1"/>
    <col min="39" max="39" width="15.6328125" bestFit="1" customWidth="1"/>
    <col min="40" max="40" width="17.36328125" bestFit="1" customWidth="1"/>
    <col min="41" max="41" width="12.6328125" bestFit="1" customWidth="1"/>
    <col min="42" max="43" width="14.36328125" bestFit="1" customWidth="1"/>
    <col min="44" max="44" width="13.6328125" bestFit="1" customWidth="1"/>
    <col min="45" max="45" width="7.453125" bestFit="1" customWidth="1"/>
    <col min="46" max="46" width="7.6328125" bestFit="1" customWidth="1"/>
    <col min="47" max="47" width="8.6328125" bestFit="1" customWidth="1"/>
    <col min="48" max="48" width="5" bestFit="1" customWidth="1"/>
    <col min="49" max="49" width="5.6328125" bestFit="1" customWidth="1"/>
    <col min="50" max="50" width="13.36328125" customWidth="1"/>
    <col min="51" max="51" width="8.36328125" customWidth="1"/>
    <col min="52" max="52" width="10.36328125" bestFit="1" customWidth="1"/>
    <col min="53" max="53" width="11.36328125" bestFit="1" customWidth="1"/>
    <col min="54" max="54" width="12.453125" bestFit="1" customWidth="1"/>
    <col min="55" max="55" width="8.36328125" bestFit="1" customWidth="1"/>
    <col min="56" max="57" width="9.453125" bestFit="1" customWidth="1"/>
    <col min="58" max="58" width="15.36328125" bestFit="1" customWidth="1"/>
    <col min="59" max="59" width="16.36328125" bestFit="1" customWidth="1"/>
    <col min="60" max="60" width="17.453125" bestFit="1" customWidth="1"/>
    <col min="61" max="61" width="12.6328125" bestFit="1" customWidth="1"/>
    <col min="62" max="63" width="14.36328125" bestFit="1" customWidth="1"/>
    <col min="64" max="64" width="23.36328125" customWidth="1"/>
    <col min="65" max="65" width="14.90625" customWidth="1"/>
    <col min="66" max="66" width="8.6328125" bestFit="1" customWidth="1"/>
    <col min="67" max="67" width="9.54296875" bestFit="1" customWidth="1"/>
    <col min="68" max="68" width="9.36328125" bestFit="1" customWidth="1"/>
    <col min="69" max="69" width="18" bestFit="1" customWidth="1"/>
    <col min="70" max="70" width="22.6328125" bestFit="1" customWidth="1"/>
  </cols>
  <sheetData>
    <row r="1" spans="1:78" x14ac:dyDescent="0.35">
      <c r="A1" s="33" t="s">
        <v>0</v>
      </c>
      <c r="B1" s="33"/>
      <c r="C1" s="33"/>
      <c r="D1" s="34" t="s">
        <v>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5" t="s">
        <v>2</v>
      </c>
      <c r="U1" s="35"/>
      <c r="V1" s="35"/>
      <c r="W1" s="35"/>
      <c r="X1" s="35"/>
      <c r="Y1" s="35"/>
      <c r="Z1" s="35"/>
      <c r="AA1" s="36" t="s">
        <v>3</v>
      </c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1" t="s">
        <v>4</v>
      </c>
      <c r="BU1" s="31"/>
      <c r="BV1" s="31"/>
      <c r="BW1" s="32" t="s">
        <v>5</v>
      </c>
      <c r="BX1" s="32"/>
      <c r="BY1" s="32"/>
      <c r="BZ1" s="32"/>
    </row>
    <row r="2" spans="1:78" x14ac:dyDescent="0.35">
      <c r="A2" s="24" t="s">
        <v>6</v>
      </c>
      <c r="B2" s="15" t="s">
        <v>7</v>
      </c>
      <c r="C2" s="15" t="s">
        <v>8</v>
      </c>
      <c r="D2" s="12" t="s">
        <v>9</v>
      </c>
      <c r="E2" s="12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8" t="s">
        <v>56</v>
      </c>
      <c r="AZ2" s="18" t="s">
        <v>57</v>
      </c>
      <c r="BA2" s="18" t="s">
        <v>58</v>
      </c>
      <c r="BB2" s="18" t="s">
        <v>59</v>
      </c>
      <c r="BC2" s="18" t="s">
        <v>60</v>
      </c>
      <c r="BD2" s="18" t="s">
        <v>61</v>
      </c>
      <c r="BE2" s="18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10" t="s">
        <v>77</v>
      </c>
      <c r="BU2" s="10" t="s">
        <v>78</v>
      </c>
      <c r="BV2" s="10" t="s">
        <v>79</v>
      </c>
      <c r="BW2" s="11" t="s">
        <v>80</v>
      </c>
      <c r="BX2" s="11" t="s">
        <v>81</v>
      </c>
      <c r="BY2" s="28" t="s">
        <v>82</v>
      </c>
      <c r="BZ2" s="28" t="s">
        <v>83</v>
      </c>
    </row>
    <row r="3" spans="1:78" x14ac:dyDescent="0.35">
      <c r="A3" s="25" t="s">
        <v>182</v>
      </c>
      <c r="B3">
        <v>53</v>
      </c>
      <c r="C3" t="s">
        <v>187</v>
      </c>
      <c r="D3" s="30">
        <v>36.069279999999999</v>
      </c>
      <c r="E3" s="30">
        <v>78.794309999999996</v>
      </c>
      <c r="F3" s="29" t="s">
        <v>237</v>
      </c>
      <c r="G3" s="26">
        <v>0.3666666666666667</v>
      </c>
      <c r="H3" s="29" t="s">
        <v>238</v>
      </c>
      <c r="I3" s="26">
        <v>0.40208333333333335</v>
      </c>
      <c r="J3">
        <v>11</v>
      </c>
      <c r="T3" s="29" t="s">
        <v>239</v>
      </c>
      <c r="U3" s="27">
        <v>0.5036342592592592</v>
      </c>
      <c r="V3">
        <v>31.5</v>
      </c>
      <c r="W3">
        <v>40</v>
      </c>
      <c r="AA3">
        <v>1.1000000000000001</v>
      </c>
      <c r="AB3">
        <v>0.1</v>
      </c>
      <c r="AC3">
        <v>28.32</v>
      </c>
      <c r="AD3">
        <v>6.91</v>
      </c>
      <c r="AE3">
        <v>197</v>
      </c>
      <c r="AF3">
        <v>8</v>
      </c>
      <c r="AG3">
        <v>14.5</v>
      </c>
      <c r="AI3">
        <v>23.3</v>
      </c>
      <c r="BY3" s="29"/>
      <c r="BZ3" s="26"/>
    </row>
    <row r="4" spans="1:78" x14ac:dyDescent="0.35">
      <c r="A4" s="25" t="s">
        <v>182</v>
      </c>
      <c r="B4">
        <v>42</v>
      </c>
      <c r="C4" t="s">
        <v>187</v>
      </c>
      <c r="D4" s="30">
        <v>36.065240000000003</v>
      </c>
      <c r="E4" s="30">
        <v>78.795259999999999</v>
      </c>
      <c r="F4" s="29" t="s">
        <v>237</v>
      </c>
      <c r="G4" s="26">
        <v>0.37083333333333335</v>
      </c>
      <c r="H4" s="29" t="s">
        <v>238</v>
      </c>
      <c r="I4" s="26">
        <v>0.41041666666666665</v>
      </c>
      <c r="J4">
        <v>59</v>
      </c>
      <c r="L4" t="s">
        <v>183</v>
      </c>
      <c r="N4" t="s">
        <v>184</v>
      </c>
      <c r="T4" s="29" t="s">
        <v>239</v>
      </c>
      <c r="U4" s="27">
        <v>0.51075231481481487</v>
      </c>
      <c r="V4">
        <v>31.7</v>
      </c>
      <c r="W4">
        <v>40</v>
      </c>
      <c r="AA4">
        <v>1.3</v>
      </c>
      <c r="AB4">
        <v>0.1</v>
      </c>
      <c r="AC4">
        <v>27.45</v>
      </c>
      <c r="AD4">
        <v>6.38</v>
      </c>
      <c r="AE4">
        <v>176</v>
      </c>
      <c r="AF4">
        <v>8.1</v>
      </c>
      <c r="AG4">
        <v>12.8</v>
      </c>
      <c r="AI4">
        <v>24.9</v>
      </c>
      <c r="AX4">
        <v>0.8</v>
      </c>
      <c r="AY4">
        <v>25.34</v>
      </c>
      <c r="AZ4">
        <v>5.08</v>
      </c>
      <c r="BA4">
        <v>124</v>
      </c>
      <c r="BB4">
        <v>8.1</v>
      </c>
      <c r="BC4">
        <v>8</v>
      </c>
      <c r="BE4">
        <v>170.1</v>
      </c>
    </row>
    <row r="5" spans="1:78" x14ac:dyDescent="0.35">
      <c r="A5" s="25" t="s">
        <v>182</v>
      </c>
      <c r="B5">
        <v>50</v>
      </c>
      <c r="C5" t="s">
        <v>187</v>
      </c>
      <c r="D5" s="30">
        <v>36.068210000000001</v>
      </c>
      <c r="E5" s="30">
        <v>78.786079999999998</v>
      </c>
      <c r="F5" s="29" t="s">
        <v>237</v>
      </c>
      <c r="G5" s="26">
        <v>0.37638888888888888</v>
      </c>
      <c r="H5" s="29" t="s">
        <v>238</v>
      </c>
      <c r="I5" s="26">
        <v>0.37777777777777777</v>
      </c>
      <c r="J5">
        <v>35</v>
      </c>
      <c r="L5" t="s">
        <v>188</v>
      </c>
      <c r="T5" s="29" t="s">
        <v>239</v>
      </c>
      <c r="U5" s="27">
        <v>0.51496527777777779</v>
      </c>
      <c r="V5">
        <v>31.9</v>
      </c>
      <c r="W5">
        <v>40</v>
      </c>
      <c r="AA5">
        <v>1.2</v>
      </c>
      <c r="AB5">
        <v>0.1</v>
      </c>
      <c r="AC5">
        <v>28.43</v>
      </c>
      <c r="AD5">
        <v>6.58</v>
      </c>
      <c r="AE5">
        <v>144</v>
      </c>
      <c r="AF5">
        <v>8</v>
      </c>
      <c r="AG5">
        <v>12.1</v>
      </c>
      <c r="AI5">
        <v>24.5</v>
      </c>
    </row>
    <row r="6" spans="1:78" x14ac:dyDescent="0.35">
      <c r="A6" s="25" t="s">
        <v>182</v>
      </c>
      <c r="B6">
        <v>44</v>
      </c>
      <c r="C6" t="s">
        <v>187</v>
      </c>
      <c r="D6" s="30">
        <v>36.072850000000003</v>
      </c>
      <c r="E6" s="30">
        <v>78.779359999999997</v>
      </c>
      <c r="F6" s="29" t="s">
        <v>237</v>
      </c>
      <c r="G6" s="26">
        <v>0.38263888888888892</v>
      </c>
      <c r="H6" s="29" t="s">
        <v>238</v>
      </c>
      <c r="I6" s="26">
        <v>0.42499999999999999</v>
      </c>
      <c r="J6">
        <v>60</v>
      </c>
      <c r="L6" t="s">
        <v>189</v>
      </c>
      <c r="N6" t="s">
        <v>205</v>
      </c>
      <c r="T6" s="29" t="s">
        <v>239</v>
      </c>
      <c r="U6" s="27">
        <v>0.51983796296296292</v>
      </c>
      <c r="V6">
        <v>32.1</v>
      </c>
      <c r="W6">
        <v>40</v>
      </c>
      <c r="AA6">
        <v>1.3</v>
      </c>
      <c r="AB6">
        <v>0.1</v>
      </c>
      <c r="AC6">
        <v>28.62</v>
      </c>
      <c r="AD6">
        <v>7.23</v>
      </c>
      <c r="AE6">
        <v>145</v>
      </c>
      <c r="AF6">
        <v>8.1999999999999993</v>
      </c>
      <c r="AG6">
        <v>7</v>
      </c>
      <c r="AI6">
        <v>23.9</v>
      </c>
      <c r="AX6">
        <v>0.8</v>
      </c>
      <c r="AY6">
        <v>28.35</v>
      </c>
      <c r="AZ6">
        <v>6.64</v>
      </c>
      <c r="BA6">
        <v>146</v>
      </c>
      <c r="BB6">
        <v>8.0500000000000007</v>
      </c>
      <c r="BC6">
        <v>11.8</v>
      </c>
      <c r="BE6">
        <v>41.8</v>
      </c>
    </row>
    <row r="7" spans="1:78" x14ac:dyDescent="0.35">
      <c r="A7" s="25" t="s">
        <v>182</v>
      </c>
      <c r="B7">
        <v>52</v>
      </c>
      <c r="C7" t="s">
        <v>187</v>
      </c>
      <c r="D7" s="30">
        <v>36.079729999999998</v>
      </c>
      <c r="E7" s="30">
        <v>78.760459999999995</v>
      </c>
      <c r="F7" s="29" t="s">
        <v>237</v>
      </c>
      <c r="G7" s="26">
        <v>0.3923611111111111</v>
      </c>
      <c r="H7" s="29" t="s">
        <v>238</v>
      </c>
      <c r="I7" s="26">
        <v>0.43194444444444446</v>
      </c>
      <c r="J7">
        <v>11</v>
      </c>
      <c r="T7" s="29" t="s">
        <v>239</v>
      </c>
      <c r="U7" s="27">
        <v>0.52623842592592596</v>
      </c>
      <c r="V7">
        <v>30.8</v>
      </c>
      <c r="W7">
        <v>45</v>
      </c>
      <c r="AA7">
        <v>1.4</v>
      </c>
      <c r="AB7">
        <v>0.1</v>
      </c>
      <c r="AC7">
        <v>29.31</v>
      </c>
      <c r="AD7">
        <v>7.39</v>
      </c>
      <c r="AE7">
        <v>120</v>
      </c>
      <c r="AF7">
        <v>8.14</v>
      </c>
      <c r="AG7">
        <v>11.5</v>
      </c>
      <c r="AI7">
        <v>16.2</v>
      </c>
    </row>
    <row r="8" spans="1:78" x14ac:dyDescent="0.35">
      <c r="A8" s="25" t="s">
        <v>182</v>
      </c>
      <c r="B8">
        <v>56</v>
      </c>
      <c r="C8" t="s">
        <v>187</v>
      </c>
      <c r="D8" s="30">
        <v>36.072789999999998</v>
      </c>
      <c r="E8" s="30">
        <v>78.766239999999996</v>
      </c>
      <c r="F8" s="29" t="s">
        <v>237</v>
      </c>
      <c r="G8" s="26">
        <v>0.3972222222222222</v>
      </c>
      <c r="H8" s="29" t="s">
        <v>238</v>
      </c>
      <c r="I8" s="26">
        <v>0.4368055555555555</v>
      </c>
      <c r="J8">
        <v>91</v>
      </c>
      <c r="L8" t="s">
        <v>190</v>
      </c>
      <c r="N8" t="s">
        <v>206</v>
      </c>
      <c r="P8" t="s">
        <v>211</v>
      </c>
      <c r="T8" s="29" t="s">
        <v>239</v>
      </c>
      <c r="U8" s="27">
        <v>0.53217592592592589</v>
      </c>
      <c r="V8">
        <v>31.2</v>
      </c>
      <c r="W8">
        <v>45</v>
      </c>
      <c r="AA8">
        <v>2.2999999999999998</v>
      </c>
      <c r="AB8">
        <v>0.1</v>
      </c>
      <c r="AC8">
        <v>29.44</v>
      </c>
      <c r="AD8">
        <v>7.52</v>
      </c>
      <c r="AE8">
        <v>119</v>
      </c>
      <c r="AF8">
        <v>8.0399999999999991</v>
      </c>
      <c r="AG8">
        <v>10.199999999999999</v>
      </c>
      <c r="AI8">
        <v>14</v>
      </c>
    </row>
    <row r="9" spans="1:78" x14ac:dyDescent="0.35">
      <c r="A9" s="25" t="s">
        <v>182</v>
      </c>
      <c r="B9">
        <v>47</v>
      </c>
      <c r="C9" t="s">
        <v>187</v>
      </c>
      <c r="D9" s="30">
        <v>36.068440000000002</v>
      </c>
      <c r="E9" s="30">
        <v>78.768590000000003</v>
      </c>
      <c r="F9" s="29" t="s">
        <v>237</v>
      </c>
      <c r="G9" s="26">
        <v>0.40069444444444446</v>
      </c>
      <c r="H9" s="29" t="s">
        <v>238</v>
      </c>
      <c r="I9" s="26">
        <v>0.44305555555555554</v>
      </c>
      <c r="J9">
        <v>46</v>
      </c>
      <c r="L9" t="s">
        <v>191</v>
      </c>
      <c r="N9" t="s">
        <v>207</v>
      </c>
      <c r="T9" s="29" t="s">
        <v>239</v>
      </c>
      <c r="U9" s="27">
        <v>0.53696759259259264</v>
      </c>
      <c r="V9">
        <v>31.7</v>
      </c>
      <c r="W9">
        <v>45</v>
      </c>
      <c r="AA9">
        <v>2.2999999999999998</v>
      </c>
      <c r="AB9">
        <v>0.1</v>
      </c>
      <c r="AC9">
        <v>28.94</v>
      </c>
      <c r="AD9">
        <v>7.45</v>
      </c>
      <c r="AE9">
        <v>124</v>
      </c>
      <c r="AF9">
        <v>8.0299999999999994</v>
      </c>
      <c r="AG9">
        <v>10.6</v>
      </c>
      <c r="AI9">
        <v>20.8</v>
      </c>
    </row>
    <row r="10" spans="1:78" x14ac:dyDescent="0.35">
      <c r="A10" s="25" t="s">
        <v>182</v>
      </c>
      <c r="B10">
        <v>43</v>
      </c>
      <c r="C10" t="s">
        <v>187</v>
      </c>
      <c r="D10" s="30">
        <v>36.061540000000001</v>
      </c>
      <c r="E10" s="30">
        <v>78.773219999999995</v>
      </c>
      <c r="F10" s="29" t="s">
        <v>237</v>
      </c>
      <c r="G10" s="26">
        <v>0.40625</v>
      </c>
      <c r="H10" s="29" t="s">
        <v>238</v>
      </c>
      <c r="I10" s="26">
        <v>0.44861111111111113</v>
      </c>
      <c r="J10">
        <v>11</v>
      </c>
      <c r="T10" s="29" t="s">
        <v>239</v>
      </c>
      <c r="U10" s="27">
        <v>0.54525462962962956</v>
      </c>
      <c r="V10">
        <v>32</v>
      </c>
      <c r="W10">
        <v>50</v>
      </c>
      <c r="AA10">
        <v>1.8</v>
      </c>
      <c r="AB10">
        <v>0.1</v>
      </c>
      <c r="AC10">
        <v>28.81</v>
      </c>
      <c r="AD10">
        <v>7.27</v>
      </c>
      <c r="AE10">
        <v>125</v>
      </c>
      <c r="AF10">
        <v>8</v>
      </c>
      <c r="AG10">
        <v>10.3</v>
      </c>
      <c r="AI10">
        <v>21</v>
      </c>
      <c r="AX10">
        <v>1.3</v>
      </c>
      <c r="AY10">
        <v>28.3</v>
      </c>
      <c r="AZ10">
        <v>6.21</v>
      </c>
      <c r="BA10">
        <v>122</v>
      </c>
      <c r="BB10">
        <v>7.94</v>
      </c>
      <c r="BC10">
        <v>8.4</v>
      </c>
      <c r="BE10">
        <v>33.9</v>
      </c>
    </row>
    <row r="11" spans="1:78" x14ac:dyDescent="0.35">
      <c r="A11" s="25" t="s">
        <v>182</v>
      </c>
      <c r="B11">
        <v>54</v>
      </c>
      <c r="C11" t="s">
        <v>187</v>
      </c>
      <c r="D11" s="30">
        <v>36.057839999999999</v>
      </c>
      <c r="E11" s="30">
        <v>78.765180000000001</v>
      </c>
      <c r="F11" s="29" t="s">
        <v>237</v>
      </c>
      <c r="G11" s="26">
        <v>0.41180555555555554</v>
      </c>
      <c r="H11" s="29" t="s">
        <v>238</v>
      </c>
      <c r="I11" s="26">
        <v>0.46111111111111108</v>
      </c>
      <c r="J11">
        <v>21</v>
      </c>
      <c r="L11" t="s">
        <v>192</v>
      </c>
      <c r="T11" s="29" t="s">
        <v>239</v>
      </c>
      <c r="U11" s="27">
        <v>0.55287037037037035</v>
      </c>
      <c r="V11">
        <v>31.8</v>
      </c>
      <c r="W11">
        <v>45</v>
      </c>
      <c r="AA11">
        <v>2</v>
      </c>
      <c r="AB11">
        <v>0.1</v>
      </c>
      <c r="AC11">
        <v>29.19</v>
      </c>
      <c r="AD11">
        <v>6.82</v>
      </c>
      <c r="AE11">
        <v>120</v>
      </c>
      <c r="AF11">
        <v>7.88</v>
      </c>
      <c r="AG11">
        <v>14.6</v>
      </c>
      <c r="AI11">
        <v>24</v>
      </c>
    </row>
    <row r="12" spans="1:78" x14ac:dyDescent="0.35">
      <c r="A12" s="25" t="s">
        <v>182</v>
      </c>
      <c r="B12">
        <v>55</v>
      </c>
      <c r="C12" t="s">
        <v>187</v>
      </c>
      <c r="D12" s="30">
        <v>36.053150000000002</v>
      </c>
      <c r="E12" s="30">
        <v>78.761529999999993</v>
      </c>
      <c r="F12" s="29" t="s">
        <v>237</v>
      </c>
      <c r="G12" s="26">
        <v>0.41597222222222219</v>
      </c>
      <c r="H12" s="29" t="s">
        <v>238</v>
      </c>
      <c r="I12" s="26">
        <v>0.46458333333333335</v>
      </c>
      <c r="J12">
        <v>21</v>
      </c>
      <c r="L12" t="s">
        <v>193</v>
      </c>
      <c r="T12" s="29" t="s">
        <v>239</v>
      </c>
      <c r="U12" s="27">
        <v>0.55920138888888882</v>
      </c>
      <c r="V12">
        <v>31.5</v>
      </c>
      <c r="W12">
        <v>45</v>
      </c>
      <c r="AA12">
        <v>2.4</v>
      </c>
      <c r="AB12">
        <v>0.1</v>
      </c>
      <c r="AC12">
        <v>29.32</v>
      </c>
      <c r="AD12">
        <v>7.52</v>
      </c>
      <c r="AE12">
        <v>120</v>
      </c>
      <c r="AF12">
        <v>7.84</v>
      </c>
      <c r="AG12">
        <v>8.1</v>
      </c>
      <c r="AI12">
        <v>17.7</v>
      </c>
    </row>
    <row r="13" spans="1:78" ht="15" customHeight="1" x14ac:dyDescent="0.35">
      <c r="A13" s="25" t="s">
        <v>182</v>
      </c>
      <c r="B13">
        <v>41</v>
      </c>
      <c r="C13" t="s">
        <v>187</v>
      </c>
      <c r="D13" s="30">
        <v>36.055660000000003</v>
      </c>
      <c r="E13" s="30">
        <v>78.758489999999995</v>
      </c>
      <c r="F13" s="29" t="s">
        <v>237</v>
      </c>
      <c r="G13" s="26">
        <v>0.42083333333333334</v>
      </c>
      <c r="H13" s="29" t="s">
        <v>238</v>
      </c>
      <c r="I13" s="26">
        <v>0.46666666666666662</v>
      </c>
      <c r="J13">
        <v>23</v>
      </c>
      <c r="L13" t="s">
        <v>194</v>
      </c>
      <c r="T13" s="29" t="s">
        <v>239</v>
      </c>
      <c r="U13" s="27">
        <v>0.56319444444444444</v>
      </c>
      <c r="V13">
        <v>32</v>
      </c>
      <c r="W13">
        <v>40</v>
      </c>
      <c r="AA13">
        <v>1.1000000000000001</v>
      </c>
      <c r="AB13">
        <v>0.1</v>
      </c>
      <c r="AC13">
        <v>29.05</v>
      </c>
      <c r="AD13">
        <v>7.69</v>
      </c>
      <c r="AE13">
        <v>119</v>
      </c>
      <c r="AF13">
        <v>7.91</v>
      </c>
      <c r="AG13">
        <v>10.199999999999999</v>
      </c>
      <c r="AI13">
        <v>21.2</v>
      </c>
      <c r="AX13">
        <v>0.6</v>
      </c>
      <c r="AY13">
        <v>28.3</v>
      </c>
      <c r="AZ13">
        <v>6.77</v>
      </c>
      <c r="BA13">
        <v>120</v>
      </c>
      <c r="BB13">
        <v>7.87</v>
      </c>
      <c r="BC13">
        <v>9</v>
      </c>
      <c r="BE13">
        <v>32.700000000000003</v>
      </c>
    </row>
    <row r="14" spans="1:78" x14ac:dyDescent="0.35">
      <c r="A14" s="25" t="s">
        <v>182</v>
      </c>
      <c r="B14">
        <v>49</v>
      </c>
      <c r="C14" t="s">
        <v>187</v>
      </c>
      <c r="D14" s="30">
        <v>36.051189999999998</v>
      </c>
      <c r="E14" s="30">
        <v>78.756780000000006</v>
      </c>
      <c r="F14" s="29" t="s">
        <v>237</v>
      </c>
      <c r="G14" s="26">
        <v>0.42708333333333331</v>
      </c>
      <c r="H14" s="29" t="s">
        <v>238</v>
      </c>
      <c r="I14" s="26">
        <v>0.47291666666666665</v>
      </c>
      <c r="J14">
        <v>77</v>
      </c>
      <c r="L14" t="s">
        <v>195</v>
      </c>
      <c r="N14" t="s">
        <v>208</v>
      </c>
      <c r="P14" t="s">
        <v>212</v>
      </c>
      <c r="T14" s="29" t="s">
        <v>239</v>
      </c>
      <c r="U14" s="27">
        <v>0.56928240740740743</v>
      </c>
      <c r="V14">
        <v>31.3</v>
      </c>
      <c r="W14">
        <v>45</v>
      </c>
      <c r="AA14">
        <v>2.7</v>
      </c>
      <c r="AB14">
        <v>0.1</v>
      </c>
      <c r="AC14">
        <v>28.97</v>
      </c>
      <c r="AD14">
        <v>6.35</v>
      </c>
      <c r="AE14">
        <v>121</v>
      </c>
      <c r="AF14">
        <v>7.83</v>
      </c>
      <c r="AG14">
        <v>10.8</v>
      </c>
      <c r="AI14">
        <v>17.899999999999999</v>
      </c>
      <c r="BT14" t="s">
        <v>244</v>
      </c>
      <c r="BU14" t="s">
        <v>245</v>
      </c>
      <c r="BV14" t="s">
        <v>246</v>
      </c>
    </row>
    <row r="15" spans="1:78" x14ac:dyDescent="0.35">
      <c r="A15" s="25" t="s">
        <v>182</v>
      </c>
      <c r="B15">
        <v>57</v>
      </c>
      <c r="C15" t="s">
        <v>187</v>
      </c>
      <c r="D15" s="30">
        <v>36.048490000000001</v>
      </c>
      <c r="E15" s="30">
        <v>78.752359999999996</v>
      </c>
      <c r="F15" s="29" t="s">
        <v>237</v>
      </c>
      <c r="G15" s="26">
        <v>0.43263888888888885</v>
      </c>
      <c r="H15" s="29" t="s">
        <v>238</v>
      </c>
      <c r="I15" s="26">
        <v>0.48541666666666666</v>
      </c>
      <c r="J15">
        <v>10</v>
      </c>
      <c r="T15" s="29" t="s">
        <v>239</v>
      </c>
      <c r="U15" s="27">
        <v>0.57506944444444441</v>
      </c>
      <c r="V15">
        <v>32.6</v>
      </c>
      <c r="W15">
        <v>45</v>
      </c>
      <c r="AA15">
        <v>2.2999999999999998</v>
      </c>
      <c r="AB15">
        <v>0.1</v>
      </c>
      <c r="AC15">
        <v>29.78</v>
      </c>
      <c r="AD15">
        <v>6.63</v>
      </c>
      <c r="AE15">
        <v>121</v>
      </c>
      <c r="AF15">
        <v>7.81</v>
      </c>
      <c r="AG15">
        <v>9</v>
      </c>
      <c r="AI15">
        <v>21.6</v>
      </c>
    </row>
    <row r="16" spans="1:78" x14ac:dyDescent="0.35">
      <c r="A16" s="25" t="s">
        <v>182</v>
      </c>
      <c r="B16">
        <v>45</v>
      </c>
      <c r="C16" t="s">
        <v>187</v>
      </c>
      <c r="D16" s="30">
        <v>36.044089999999997</v>
      </c>
      <c r="E16" s="30">
        <v>78.758170000000007</v>
      </c>
      <c r="F16" s="29" t="s">
        <v>237</v>
      </c>
      <c r="G16" s="26">
        <v>0.4375</v>
      </c>
      <c r="H16" s="29" t="s">
        <v>238</v>
      </c>
      <c r="I16" s="26">
        <v>0.48888888888888887</v>
      </c>
      <c r="J16">
        <v>21.5</v>
      </c>
      <c r="L16" t="s">
        <v>196</v>
      </c>
      <c r="T16" s="29" t="s">
        <v>239</v>
      </c>
      <c r="U16" s="27">
        <v>0.58246527777777779</v>
      </c>
      <c r="V16">
        <v>32.5</v>
      </c>
      <c r="W16">
        <v>45</v>
      </c>
      <c r="Z16" t="s">
        <v>240</v>
      </c>
      <c r="AA16">
        <v>2.4</v>
      </c>
      <c r="AB16">
        <v>0.1</v>
      </c>
      <c r="AC16">
        <v>30.18</v>
      </c>
      <c r="AD16">
        <v>7.88</v>
      </c>
      <c r="AE16">
        <v>121</v>
      </c>
      <c r="AF16">
        <v>7.83</v>
      </c>
      <c r="AG16">
        <v>8</v>
      </c>
      <c r="AI16">
        <v>9.5</v>
      </c>
    </row>
    <row r="17" spans="1:74" x14ac:dyDescent="0.35">
      <c r="A17" s="25" t="s">
        <v>182</v>
      </c>
      <c r="B17">
        <v>10</v>
      </c>
      <c r="C17" t="s">
        <v>187</v>
      </c>
      <c r="D17" s="30">
        <v>36.039769999999997</v>
      </c>
      <c r="E17" s="30">
        <v>78.75609</v>
      </c>
      <c r="F17" s="29" t="s">
        <v>237</v>
      </c>
      <c r="G17" s="26">
        <v>0.44166666666666665</v>
      </c>
      <c r="H17" s="29" t="s">
        <v>238</v>
      </c>
      <c r="I17" s="26">
        <v>0.49722222222222223</v>
      </c>
      <c r="J17">
        <v>0</v>
      </c>
      <c r="T17" s="29" t="s">
        <v>239</v>
      </c>
      <c r="U17" s="27">
        <v>0.58559027777777783</v>
      </c>
      <c r="V17">
        <v>32.299999999999997</v>
      </c>
      <c r="W17">
        <v>50</v>
      </c>
      <c r="AA17">
        <v>1.6</v>
      </c>
      <c r="AB17">
        <v>0.1</v>
      </c>
      <c r="AC17">
        <v>29.48</v>
      </c>
      <c r="AD17">
        <v>7.16</v>
      </c>
      <c r="AE17">
        <v>121</v>
      </c>
      <c r="AF17">
        <v>7.87</v>
      </c>
      <c r="AG17">
        <v>7.9</v>
      </c>
      <c r="AI17">
        <v>10.9</v>
      </c>
    </row>
    <row r="18" spans="1:74" x14ac:dyDescent="0.35">
      <c r="A18" s="25" t="s">
        <v>182</v>
      </c>
      <c r="B18">
        <v>4</v>
      </c>
      <c r="C18" t="s">
        <v>187</v>
      </c>
      <c r="D18" s="30">
        <v>36.012039999999999</v>
      </c>
      <c r="E18" s="30">
        <v>78.761060000000001</v>
      </c>
      <c r="F18" s="29" t="s">
        <v>237</v>
      </c>
      <c r="G18" s="26">
        <v>0.4513888888888889</v>
      </c>
      <c r="H18" s="29" t="s">
        <v>238</v>
      </c>
      <c r="I18" s="26">
        <v>0.50486111111111109</v>
      </c>
      <c r="J18">
        <v>14</v>
      </c>
      <c r="T18" s="29" t="s">
        <v>239</v>
      </c>
      <c r="U18" s="27">
        <v>0.63582175925925932</v>
      </c>
      <c r="V18">
        <v>32.9</v>
      </c>
      <c r="W18">
        <v>50</v>
      </c>
      <c r="AA18">
        <v>1.1000000000000001</v>
      </c>
      <c r="AB18">
        <v>0.1</v>
      </c>
      <c r="AC18">
        <v>29.18</v>
      </c>
      <c r="AD18">
        <v>6.97</v>
      </c>
      <c r="AE18">
        <v>115</v>
      </c>
      <c r="AF18">
        <v>7.83</v>
      </c>
      <c r="AG18">
        <v>11</v>
      </c>
      <c r="AI18">
        <v>10.1</v>
      </c>
      <c r="AX18">
        <v>0.6</v>
      </c>
      <c r="AY18">
        <v>26.63</v>
      </c>
      <c r="AZ18">
        <v>5.35</v>
      </c>
      <c r="BA18">
        <v>101</v>
      </c>
      <c r="BB18">
        <v>7.85</v>
      </c>
      <c r="BC18">
        <v>9.6</v>
      </c>
      <c r="BE18">
        <v>48</v>
      </c>
    </row>
    <row r="19" spans="1:74" x14ac:dyDescent="0.35">
      <c r="A19" s="25" t="s">
        <v>182</v>
      </c>
      <c r="B19">
        <v>8</v>
      </c>
      <c r="C19" t="s">
        <v>187</v>
      </c>
      <c r="D19" s="30">
        <v>36.018949999999997</v>
      </c>
      <c r="E19" s="30">
        <v>78.748739999999998</v>
      </c>
      <c r="F19" s="29" t="s">
        <v>237</v>
      </c>
      <c r="G19" s="26">
        <v>0.45694444444444443</v>
      </c>
      <c r="H19" s="29" t="s">
        <v>238</v>
      </c>
      <c r="I19" s="26">
        <v>0.51041666666666663</v>
      </c>
      <c r="J19">
        <v>101</v>
      </c>
      <c r="L19" t="s">
        <v>202</v>
      </c>
      <c r="N19" t="s">
        <v>209</v>
      </c>
      <c r="P19" t="s">
        <v>213</v>
      </c>
      <c r="T19" s="29" t="s">
        <v>239</v>
      </c>
      <c r="U19" s="27">
        <v>0.60047453703703701</v>
      </c>
      <c r="V19">
        <v>32.299999999999997</v>
      </c>
      <c r="W19">
        <v>50</v>
      </c>
      <c r="AA19">
        <v>3.8</v>
      </c>
      <c r="AB19">
        <v>0.1</v>
      </c>
      <c r="AC19">
        <v>29.67</v>
      </c>
      <c r="AD19">
        <v>7.14</v>
      </c>
      <c r="AE19">
        <v>117</v>
      </c>
      <c r="AF19">
        <v>7.75</v>
      </c>
      <c r="AG19">
        <v>9.1999999999999993</v>
      </c>
      <c r="AI19">
        <v>7.4</v>
      </c>
    </row>
    <row r="20" spans="1:74" x14ac:dyDescent="0.35">
      <c r="A20" s="25" t="s">
        <v>182</v>
      </c>
      <c r="B20">
        <v>3</v>
      </c>
      <c r="C20" t="s">
        <v>187</v>
      </c>
      <c r="D20" s="30">
        <v>36.032550000000001</v>
      </c>
      <c r="E20" s="30">
        <v>78.739639999999994</v>
      </c>
      <c r="F20" s="29" t="s">
        <v>237</v>
      </c>
      <c r="G20" s="26">
        <v>0.46319444444444446</v>
      </c>
      <c r="H20" s="29" t="s">
        <v>238</v>
      </c>
      <c r="I20" s="26">
        <v>0.5180555555555556</v>
      </c>
      <c r="J20">
        <v>30</v>
      </c>
      <c r="L20" t="s">
        <v>201</v>
      </c>
      <c r="T20" s="29" t="s">
        <v>239</v>
      </c>
      <c r="U20" s="27">
        <v>0.60744212962962962</v>
      </c>
      <c r="V20">
        <v>33.700000000000003</v>
      </c>
      <c r="W20">
        <v>45</v>
      </c>
      <c r="AA20">
        <v>1.6</v>
      </c>
      <c r="AB20">
        <v>0.1</v>
      </c>
      <c r="AC20">
        <v>30.01</v>
      </c>
      <c r="AD20">
        <v>7.88</v>
      </c>
      <c r="AE20">
        <v>115</v>
      </c>
      <c r="AF20">
        <v>7.8</v>
      </c>
      <c r="AG20">
        <v>7.4</v>
      </c>
      <c r="AI20">
        <v>8</v>
      </c>
      <c r="AX20">
        <v>1.1000000000000001</v>
      </c>
      <c r="AY20">
        <v>28.25</v>
      </c>
      <c r="AZ20">
        <v>6.8</v>
      </c>
      <c r="BA20">
        <v>106</v>
      </c>
      <c r="BB20">
        <v>7.76</v>
      </c>
      <c r="BC20">
        <v>10.199999999999999</v>
      </c>
      <c r="BE20">
        <v>18</v>
      </c>
    </row>
    <row r="21" spans="1:74" x14ac:dyDescent="0.35">
      <c r="A21" s="25" t="s">
        <v>182</v>
      </c>
      <c r="B21">
        <v>14</v>
      </c>
      <c r="C21" t="s">
        <v>187</v>
      </c>
      <c r="D21" s="30">
        <v>36.059609999999999</v>
      </c>
      <c r="E21" s="30">
        <v>78.717179999999999</v>
      </c>
      <c r="F21" s="29" t="s">
        <v>237</v>
      </c>
      <c r="G21" s="26">
        <v>0.47222222222222227</v>
      </c>
      <c r="H21" s="29" t="s">
        <v>238</v>
      </c>
      <c r="I21" s="26">
        <v>0.52708333333333335</v>
      </c>
      <c r="J21">
        <v>1</v>
      </c>
      <c r="T21" s="29" t="s">
        <v>239</v>
      </c>
      <c r="U21" s="27">
        <v>0.61660879629629628</v>
      </c>
      <c r="V21">
        <v>32.299999999999997</v>
      </c>
      <c r="W21">
        <v>45</v>
      </c>
      <c r="AA21">
        <v>1.5</v>
      </c>
      <c r="AB21">
        <v>0.1</v>
      </c>
      <c r="AC21">
        <v>30.52</v>
      </c>
      <c r="AD21">
        <v>8.26</v>
      </c>
      <c r="AE21">
        <v>104</v>
      </c>
      <c r="AF21">
        <v>7.77</v>
      </c>
      <c r="AG21">
        <v>8.3000000000000007</v>
      </c>
      <c r="AI21">
        <v>7.6</v>
      </c>
      <c r="AX21">
        <v>1</v>
      </c>
      <c r="AY21">
        <v>29.3</v>
      </c>
      <c r="AZ21">
        <v>6.5</v>
      </c>
      <c r="BA21">
        <v>104</v>
      </c>
      <c r="BB21">
        <v>7.8</v>
      </c>
      <c r="BC21">
        <v>8.1</v>
      </c>
      <c r="BE21">
        <v>20.100000000000001</v>
      </c>
    </row>
    <row r="22" spans="1:74" x14ac:dyDescent="0.35">
      <c r="A22" s="25" t="s">
        <v>182</v>
      </c>
      <c r="B22">
        <v>15</v>
      </c>
      <c r="C22" t="s">
        <v>187</v>
      </c>
      <c r="D22" s="30">
        <v>36.022190000000002</v>
      </c>
      <c r="E22" s="30">
        <v>78.714299999999994</v>
      </c>
      <c r="F22" s="29" t="s">
        <v>237</v>
      </c>
      <c r="G22" s="26">
        <v>0.4861111111111111</v>
      </c>
      <c r="H22" s="29" t="s">
        <v>238</v>
      </c>
      <c r="I22" s="26">
        <v>0.53541666666666665</v>
      </c>
      <c r="J22">
        <v>21.5</v>
      </c>
      <c r="L22" t="s">
        <v>197</v>
      </c>
      <c r="T22" s="29" t="s">
        <v>239</v>
      </c>
      <c r="U22" s="27">
        <v>0.6244791666666667</v>
      </c>
      <c r="V22">
        <v>31.3</v>
      </c>
      <c r="W22">
        <v>50</v>
      </c>
      <c r="AA22">
        <v>4.2</v>
      </c>
      <c r="AB22">
        <v>0.1</v>
      </c>
      <c r="AC22">
        <v>30.33</v>
      </c>
      <c r="AD22">
        <v>8.18</v>
      </c>
      <c r="AE22">
        <v>106</v>
      </c>
      <c r="AF22">
        <v>7.85</v>
      </c>
      <c r="AG22">
        <v>9.6</v>
      </c>
      <c r="AI22">
        <v>5.7</v>
      </c>
      <c r="AX22">
        <v>3.7</v>
      </c>
      <c r="AY22">
        <v>28.48</v>
      </c>
      <c r="AZ22">
        <v>5.07</v>
      </c>
      <c r="BA22">
        <v>106</v>
      </c>
      <c r="BB22">
        <v>7.63</v>
      </c>
      <c r="BC22">
        <v>5.7</v>
      </c>
      <c r="BE22">
        <v>50</v>
      </c>
    </row>
    <row r="23" spans="1:74" x14ac:dyDescent="0.35">
      <c r="A23" s="25" t="s">
        <v>182</v>
      </c>
      <c r="B23">
        <v>11</v>
      </c>
      <c r="C23" t="s">
        <v>187</v>
      </c>
      <c r="D23" s="30">
        <v>36.019190000000002</v>
      </c>
      <c r="E23" s="30">
        <v>78.717039999999997</v>
      </c>
      <c r="F23" s="29" t="s">
        <v>237</v>
      </c>
      <c r="G23" s="26">
        <v>0.49027777777777781</v>
      </c>
      <c r="H23" s="29" t="s">
        <v>238</v>
      </c>
      <c r="I23" s="26">
        <v>0.5444444444444444</v>
      </c>
      <c r="J23">
        <v>4</v>
      </c>
      <c r="T23" s="29" t="s">
        <v>239</v>
      </c>
      <c r="U23" s="27">
        <v>0.62771990740740746</v>
      </c>
      <c r="V23">
        <v>31.8</v>
      </c>
      <c r="W23">
        <v>50</v>
      </c>
      <c r="AA23">
        <v>3.7</v>
      </c>
      <c r="AB23">
        <v>0.1</v>
      </c>
      <c r="AC23">
        <v>30.13</v>
      </c>
      <c r="AD23">
        <v>8.17</v>
      </c>
      <c r="AE23">
        <v>106</v>
      </c>
      <c r="AF23">
        <v>7.68</v>
      </c>
      <c r="AG23">
        <v>9.9</v>
      </c>
      <c r="AI23">
        <v>6</v>
      </c>
    </row>
    <row r="24" spans="1:74" x14ac:dyDescent="0.35">
      <c r="A24" s="25" t="s">
        <v>182</v>
      </c>
      <c r="B24">
        <v>7</v>
      </c>
      <c r="C24" t="s">
        <v>187</v>
      </c>
      <c r="D24" s="30">
        <v>36.005470000000003</v>
      </c>
      <c r="E24" s="30">
        <v>78.667770000000004</v>
      </c>
      <c r="F24" s="29" t="s">
        <v>237</v>
      </c>
      <c r="G24" s="26">
        <v>0.50138888888888888</v>
      </c>
      <c r="H24" s="29" t="s">
        <v>238</v>
      </c>
      <c r="I24" s="26">
        <v>0.57708333333333328</v>
      </c>
      <c r="J24">
        <v>0.5</v>
      </c>
      <c r="T24" s="29" t="s">
        <v>239</v>
      </c>
      <c r="U24" s="27">
        <v>0.63923611111111112</v>
      </c>
      <c r="V24">
        <v>32.299999999999997</v>
      </c>
      <c r="W24">
        <v>45</v>
      </c>
      <c r="AA24">
        <v>6.5</v>
      </c>
      <c r="AB24">
        <v>0.1</v>
      </c>
      <c r="AC24">
        <v>30.41</v>
      </c>
      <c r="AD24">
        <v>6.96</v>
      </c>
      <c r="AE24">
        <v>98</v>
      </c>
      <c r="AF24">
        <v>7.75</v>
      </c>
      <c r="AG24">
        <v>8</v>
      </c>
      <c r="AI24">
        <v>4.0999999999999996</v>
      </c>
      <c r="AX24">
        <v>6</v>
      </c>
      <c r="AY24">
        <v>26.96</v>
      </c>
      <c r="AZ24">
        <v>0.46</v>
      </c>
      <c r="BA24">
        <v>122</v>
      </c>
      <c r="BB24">
        <v>7.37</v>
      </c>
      <c r="BC24">
        <v>5.5</v>
      </c>
      <c r="BE24">
        <v>22</v>
      </c>
    </row>
    <row r="25" spans="1:74" x14ac:dyDescent="0.35">
      <c r="A25" s="25" t="s">
        <v>182</v>
      </c>
      <c r="B25">
        <v>1</v>
      </c>
      <c r="C25" t="s">
        <v>187</v>
      </c>
      <c r="D25" s="30">
        <v>36.002139999999997</v>
      </c>
      <c r="E25" s="30">
        <v>78.634379999999993</v>
      </c>
      <c r="F25" s="29" t="s">
        <v>237</v>
      </c>
      <c r="G25" s="26">
        <v>0.51666666666666672</v>
      </c>
      <c r="H25" s="29" t="s">
        <v>238</v>
      </c>
      <c r="I25" s="26">
        <v>0.58680555555555558</v>
      </c>
      <c r="J25">
        <v>14</v>
      </c>
      <c r="T25" s="29" t="s">
        <v>239</v>
      </c>
      <c r="U25" s="27">
        <v>0.64814814814814814</v>
      </c>
      <c r="V25">
        <v>32.299999999999997</v>
      </c>
      <c r="W25">
        <v>40</v>
      </c>
      <c r="AA25">
        <v>2.6</v>
      </c>
      <c r="AB25">
        <v>0.1</v>
      </c>
      <c r="AC25">
        <v>30.95</v>
      </c>
      <c r="AD25">
        <v>7.82</v>
      </c>
      <c r="AE25">
        <v>94</v>
      </c>
      <c r="AF25">
        <v>7.53</v>
      </c>
      <c r="AG25">
        <v>5.3</v>
      </c>
      <c r="AI25">
        <v>2.6</v>
      </c>
    </row>
    <row r="26" spans="1:74" x14ac:dyDescent="0.35">
      <c r="A26" s="25" t="s">
        <v>182</v>
      </c>
      <c r="B26">
        <v>21</v>
      </c>
      <c r="C26" t="s">
        <v>187</v>
      </c>
      <c r="D26" s="30">
        <v>36.008890000000001</v>
      </c>
      <c r="E26" s="30">
        <v>78.628159999999994</v>
      </c>
      <c r="F26" s="29" t="s">
        <v>237</v>
      </c>
      <c r="G26" s="26">
        <v>0.52152777777777781</v>
      </c>
      <c r="H26" s="29" t="s">
        <v>238</v>
      </c>
      <c r="I26" s="26">
        <v>0.59027777777777779</v>
      </c>
      <c r="J26">
        <f>25+25+25+140+17</f>
        <v>232</v>
      </c>
      <c r="L26" t="s">
        <v>198</v>
      </c>
      <c r="N26" t="s">
        <v>210</v>
      </c>
      <c r="P26" t="s">
        <v>214</v>
      </c>
      <c r="T26" s="29" t="s">
        <v>239</v>
      </c>
      <c r="U26" s="27">
        <v>0.65402777777777776</v>
      </c>
      <c r="V26">
        <v>32.700000000000003</v>
      </c>
      <c r="W26">
        <v>45</v>
      </c>
      <c r="AA26">
        <v>4.7</v>
      </c>
      <c r="AB26">
        <v>0.1</v>
      </c>
      <c r="AC26">
        <v>30.86</v>
      </c>
      <c r="AD26">
        <v>7.93</v>
      </c>
      <c r="AE26">
        <v>94</v>
      </c>
      <c r="AF26">
        <v>7.67</v>
      </c>
      <c r="AG26">
        <v>5.8</v>
      </c>
      <c r="AI26">
        <v>5.3</v>
      </c>
    </row>
    <row r="27" spans="1:74" x14ac:dyDescent="0.35">
      <c r="A27" s="25" t="s">
        <v>182</v>
      </c>
      <c r="B27">
        <v>13</v>
      </c>
      <c r="C27" t="s">
        <v>187</v>
      </c>
      <c r="D27" s="30">
        <v>36.003660000000004</v>
      </c>
      <c r="E27" s="30">
        <v>78.646370000000005</v>
      </c>
      <c r="F27" s="29" t="s">
        <v>237</v>
      </c>
      <c r="G27" s="26">
        <v>0.52500000000000002</v>
      </c>
      <c r="H27" s="29" t="s">
        <v>238</v>
      </c>
      <c r="I27" s="26">
        <v>0.6020833333333333</v>
      </c>
      <c r="J27">
        <v>10.5</v>
      </c>
      <c r="T27" s="29" t="s">
        <v>239</v>
      </c>
      <c r="U27" s="27">
        <v>0.66597222222222219</v>
      </c>
      <c r="V27">
        <v>32.4</v>
      </c>
      <c r="W27">
        <v>45</v>
      </c>
      <c r="AA27">
        <v>5.4</v>
      </c>
      <c r="AB27">
        <v>0.1</v>
      </c>
      <c r="AC27">
        <v>30.59</v>
      </c>
      <c r="AD27">
        <v>7.66</v>
      </c>
      <c r="AE27">
        <v>95</v>
      </c>
      <c r="AF27">
        <v>7.72</v>
      </c>
      <c r="AG27">
        <v>4.9000000000000004</v>
      </c>
      <c r="AI27">
        <v>3.3</v>
      </c>
    </row>
    <row r="28" spans="1:74" x14ac:dyDescent="0.35">
      <c r="A28" s="25" t="s">
        <v>182</v>
      </c>
      <c r="B28">
        <v>12</v>
      </c>
      <c r="C28" t="s">
        <v>187</v>
      </c>
      <c r="D28" s="30">
        <v>35.965620000000001</v>
      </c>
      <c r="E28" s="30">
        <v>78.633930000000007</v>
      </c>
      <c r="F28" s="29" t="s">
        <v>237</v>
      </c>
      <c r="G28" s="26">
        <v>0.53611111111111109</v>
      </c>
      <c r="H28" s="29" t="s">
        <v>238</v>
      </c>
      <c r="I28" s="26">
        <v>0.61111111111111105</v>
      </c>
      <c r="J28">
        <f>25+25+25+140+140+22</f>
        <v>377</v>
      </c>
      <c r="L28" t="s">
        <v>199</v>
      </c>
      <c r="N28" t="s">
        <v>203</v>
      </c>
      <c r="P28" t="s">
        <v>204</v>
      </c>
      <c r="T28" s="29" t="s">
        <v>239</v>
      </c>
      <c r="U28" s="27">
        <v>0.67484953703703709</v>
      </c>
      <c r="V28">
        <v>32.9</v>
      </c>
      <c r="W28">
        <v>45</v>
      </c>
      <c r="AA28">
        <v>4.7</v>
      </c>
      <c r="AB28">
        <v>0.1</v>
      </c>
      <c r="AC28">
        <v>30.5</v>
      </c>
      <c r="AD28">
        <v>7.04</v>
      </c>
      <c r="AE28">
        <v>93</v>
      </c>
      <c r="AF28">
        <v>7.67</v>
      </c>
      <c r="AG28">
        <v>6.3</v>
      </c>
      <c r="AI28">
        <v>2.1</v>
      </c>
    </row>
    <row r="29" spans="1:74" x14ac:dyDescent="0.35">
      <c r="A29" s="25" t="s">
        <v>182</v>
      </c>
      <c r="B29">
        <v>5</v>
      </c>
      <c r="C29" t="s">
        <v>187</v>
      </c>
      <c r="D29" s="30">
        <v>35.970080000000003</v>
      </c>
      <c r="E29" s="30">
        <v>78.621300000000005</v>
      </c>
      <c r="F29" s="29" t="s">
        <v>237</v>
      </c>
      <c r="G29" s="26">
        <v>0.54166666666666663</v>
      </c>
      <c r="H29" s="29" t="s">
        <v>238</v>
      </c>
      <c r="I29" s="26">
        <v>0.6166666666666667</v>
      </c>
      <c r="J29">
        <v>0.5</v>
      </c>
      <c r="T29" s="29" t="s">
        <v>239</v>
      </c>
      <c r="U29" s="27">
        <v>0.6796875</v>
      </c>
      <c r="V29">
        <v>32.799999999999997</v>
      </c>
      <c r="W29">
        <v>45</v>
      </c>
      <c r="AA29">
        <v>3</v>
      </c>
      <c r="AB29">
        <v>0.1</v>
      </c>
      <c r="AC29">
        <v>30.7</v>
      </c>
      <c r="AD29">
        <v>7.57</v>
      </c>
      <c r="AE29">
        <v>92</v>
      </c>
      <c r="AF29">
        <v>7.7</v>
      </c>
      <c r="AG29">
        <v>3.7</v>
      </c>
      <c r="AI29">
        <v>2.1</v>
      </c>
      <c r="AX29">
        <v>2.5</v>
      </c>
      <c r="AY29">
        <v>29.38</v>
      </c>
      <c r="AZ29">
        <v>5.07</v>
      </c>
      <c r="BA29">
        <v>92</v>
      </c>
      <c r="BB29">
        <v>7.63</v>
      </c>
      <c r="BC29">
        <v>3.5</v>
      </c>
      <c r="BE29">
        <v>3.8</v>
      </c>
    </row>
    <row r="30" spans="1:74" x14ac:dyDescent="0.35">
      <c r="A30" s="25" t="s">
        <v>182</v>
      </c>
      <c r="B30">
        <v>2</v>
      </c>
      <c r="C30" t="s">
        <v>187</v>
      </c>
      <c r="D30" s="30">
        <v>35.976410000000001</v>
      </c>
      <c r="E30" s="30">
        <v>78.588980000000006</v>
      </c>
      <c r="F30" s="29" t="s">
        <v>237</v>
      </c>
      <c r="G30" s="26">
        <v>0.54999999999999993</v>
      </c>
      <c r="H30" s="29" t="s">
        <v>238</v>
      </c>
      <c r="I30" s="26">
        <v>0.625</v>
      </c>
      <c r="J30">
        <v>23</v>
      </c>
      <c r="L30" t="s">
        <v>200</v>
      </c>
      <c r="T30" s="29" t="s">
        <v>239</v>
      </c>
      <c r="U30" s="27">
        <v>0.68664351851851846</v>
      </c>
      <c r="V30">
        <v>32.700000000000003</v>
      </c>
      <c r="W30">
        <v>40</v>
      </c>
      <c r="AA30">
        <v>3.5</v>
      </c>
      <c r="AB30">
        <v>0.1</v>
      </c>
      <c r="AC30">
        <v>31.15</v>
      </c>
      <c r="AD30">
        <v>8.17</v>
      </c>
      <c r="AE30">
        <v>92</v>
      </c>
      <c r="AF30">
        <v>7.72</v>
      </c>
      <c r="AG30">
        <v>3</v>
      </c>
      <c r="AI30">
        <v>4.2</v>
      </c>
      <c r="AX30">
        <v>3</v>
      </c>
      <c r="AY30">
        <v>29.81</v>
      </c>
      <c r="AZ30">
        <v>6.24</v>
      </c>
      <c r="BA30">
        <v>92</v>
      </c>
      <c r="BB30">
        <v>7.69</v>
      </c>
      <c r="BC30">
        <v>3.7</v>
      </c>
      <c r="BE30">
        <v>18.5</v>
      </c>
      <c r="BT30" t="s">
        <v>241</v>
      </c>
      <c r="BU30" t="s">
        <v>242</v>
      </c>
      <c r="BV30" t="s">
        <v>243</v>
      </c>
    </row>
    <row r="31" spans="1:74" x14ac:dyDescent="0.35">
      <c r="A31" s="25" t="s">
        <v>182</v>
      </c>
      <c r="B31">
        <v>16</v>
      </c>
      <c r="C31" t="s">
        <v>187</v>
      </c>
      <c r="D31" s="30">
        <v>35.956690000000002</v>
      </c>
      <c r="E31" s="30">
        <v>78.590490000000003</v>
      </c>
      <c r="F31" s="29" t="s">
        <v>237</v>
      </c>
      <c r="G31" s="26">
        <v>0.55833333333333335</v>
      </c>
      <c r="H31" s="29" t="s">
        <v>238</v>
      </c>
      <c r="I31" s="26">
        <v>0.63402777777777775</v>
      </c>
      <c r="J31">
        <v>10</v>
      </c>
      <c r="T31" s="29" t="s">
        <v>239</v>
      </c>
      <c r="U31" s="27">
        <v>0.69467592592592586</v>
      </c>
      <c r="V31">
        <v>32.799999999999997</v>
      </c>
      <c r="W31">
        <v>45</v>
      </c>
      <c r="AA31">
        <v>5.4</v>
      </c>
      <c r="AB31">
        <v>0.1</v>
      </c>
      <c r="AC31">
        <v>30.87</v>
      </c>
      <c r="AD31">
        <v>7.8</v>
      </c>
      <c r="AE31">
        <v>91</v>
      </c>
      <c r="AF31">
        <v>7.68</v>
      </c>
      <c r="AG31">
        <v>4.3</v>
      </c>
      <c r="AI31">
        <v>2.7</v>
      </c>
    </row>
    <row r="32" spans="1:74" x14ac:dyDescent="0.35">
      <c r="A32" s="25" t="s">
        <v>182</v>
      </c>
      <c r="B32">
        <v>24</v>
      </c>
      <c r="C32" t="s">
        <v>187</v>
      </c>
      <c r="D32" s="30">
        <v>35.942010000000003</v>
      </c>
      <c r="E32" s="30">
        <v>78.588139999999996</v>
      </c>
      <c r="F32" s="29" t="s">
        <v>237</v>
      </c>
      <c r="G32" s="26">
        <v>0.56458333333333333</v>
      </c>
      <c r="H32" s="29" t="s">
        <v>238</v>
      </c>
      <c r="I32" s="26">
        <v>0.63888888888888895</v>
      </c>
      <c r="J32">
        <v>2</v>
      </c>
      <c r="T32" s="29" t="s">
        <v>239</v>
      </c>
      <c r="U32" s="27">
        <v>0.70081018518518512</v>
      </c>
      <c r="V32">
        <v>32.6</v>
      </c>
      <c r="W32">
        <v>45</v>
      </c>
      <c r="AA32">
        <v>2</v>
      </c>
      <c r="AB32">
        <v>0.1</v>
      </c>
      <c r="AC32">
        <v>31.75</v>
      </c>
      <c r="AD32">
        <v>7.43</v>
      </c>
      <c r="AE32">
        <v>91</v>
      </c>
      <c r="AF32">
        <v>7.73</v>
      </c>
      <c r="AG32">
        <v>2.1</v>
      </c>
      <c r="AI32">
        <v>2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32" sqref="B32"/>
    </sheetView>
  </sheetViews>
  <sheetFormatPr defaultRowHeight="14.5" x14ac:dyDescent="0.35"/>
  <cols>
    <col min="1" max="1" width="17.6328125" bestFit="1" customWidth="1"/>
    <col min="2" max="2" width="116.6328125" customWidth="1"/>
    <col min="3" max="3" width="49.54296875" bestFit="1" customWidth="1"/>
  </cols>
  <sheetData>
    <row r="1" spans="1:3" x14ac:dyDescent="0.35">
      <c r="A1" t="s">
        <v>84</v>
      </c>
      <c r="B1" t="s">
        <v>85</v>
      </c>
      <c r="C1" t="s">
        <v>86</v>
      </c>
    </row>
    <row r="2" spans="1:3" x14ac:dyDescent="0.35">
      <c r="A2" t="s">
        <v>6</v>
      </c>
      <c r="B2" t="s">
        <v>87</v>
      </c>
      <c r="C2" t="s">
        <v>88</v>
      </c>
    </row>
    <row r="3" spans="1:3" x14ac:dyDescent="0.35">
      <c r="A3" t="s">
        <v>7</v>
      </c>
      <c r="B3" t="s">
        <v>89</v>
      </c>
      <c r="C3" t="s">
        <v>88</v>
      </c>
    </row>
    <row r="4" spans="1:3" ht="72.5" x14ac:dyDescent="0.35">
      <c r="A4" s="16" t="s">
        <v>8</v>
      </c>
      <c r="B4" s="16" t="s">
        <v>90</v>
      </c>
      <c r="C4" s="17" t="s">
        <v>91</v>
      </c>
    </row>
    <row r="5" spans="1:3" x14ac:dyDescent="0.35">
      <c r="A5" t="s">
        <v>9</v>
      </c>
      <c r="B5" t="s">
        <v>92</v>
      </c>
      <c r="C5" t="s">
        <v>93</v>
      </c>
    </row>
    <row r="6" spans="1:3" x14ac:dyDescent="0.35">
      <c r="A6" t="s">
        <v>10</v>
      </c>
      <c r="B6" t="s">
        <v>94</v>
      </c>
      <c r="C6" t="s">
        <v>93</v>
      </c>
    </row>
    <row r="7" spans="1:3" x14ac:dyDescent="0.35">
      <c r="A7" t="s">
        <v>11</v>
      </c>
      <c r="B7" t="s">
        <v>95</v>
      </c>
      <c r="C7" t="s">
        <v>96</v>
      </c>
    </row>
    <row r="8" spans="1:3" x14ac:dyDescent="0.35">
      <c r="A8" t="s">
        <v>12</v>
      </c>
      <c r="B8" t="s">
        <v>97</v>
      </c>
      <c r="C8" t="s">
        <v>98</v>
      </c>
    </row>
    <row r="9" spans="1:3" x14ac:dyDescent="0.35">
      <c r="A9" t="s">
        <v>13</v>
      </c>
      <c r="B9" t="s">
        <v>99</v>
      </c>
      <c r="C9" t="s">
        <v>96</v>
      </c>
    </row>
    <row r="10" spans="1:3" x14ac:dyDescent="0.35">
      <c r="A10" t="s">
        <v>14</v>
      </c>
      <c r="B10" t="s">
        <v>100</v>
      </c>
      <c r="C10" t="s">
        <v>98</v>
      </c>
    </row>
    <row r="11" spans="1:3" x14ac:dyDescent="0.35">
      <c r="A11" t="s">
        <v>15</v>
      </c>
      <c r="B11" t="s">
        <v>181</v>
      </c>
      <c r="C11" t="s">
        <v>101</v>
      </c>
    </row>
    <row r="12" spans="1:3" x14ac:dyDescent="0.35">
      <c r="A12" t="s">
        <v>16</v>
      </c>
      <c r="B12" s="23" t="s">
        <v>102</v>
      </c>
      <c r="C12" s="23" t="s">
        <v>103</v>
      </c>
    </row>
    <row r="13" spans="1:3" x14ac:dyDescent="0.35">
      <c r="A13" t="s">
        <v>17</v>
      </c>
      <c r="B13" t="s">
        <v>104</v>
      </c>
      <c r="C13" t="s">
        <v>105</v>
      </c>
    </row>
    <row r="14" spans="1:3" x14ac:dyDescent="0.35">
      <c r="A14" t="s">
        <v>18</v>
      </c>
      <c r="B14" t="s">
        <v>106</v>
      </c>
    </row>
    <row r="15" spans="1:3" x14ac:dyDescent="0.35">
      <c r="A15" t="s">
        <v>19</v>
      </c>
      <c r="B15" t="s">
        <v>107</v>
      </c>
      <c r="C15" t="s">
        <v>105</v>
      </c>
    </row>
    <row r="16" spans="1:3" x14ac:dyDescent="0.35">
      <c r="A16" t="s">
        <v>20</v>
      </c>
      <c r="B16" t="s">
        <v>106</v>
      </c>
    </row>
    <row r="17" spans="1:3" x14ac:dyDescent="0.35">
      <c r="A17" t="s">
        <v>21</v>
      </c>
      <c r="B17" t="s">
        <v>108</v>
      </c>
      <c r="C17" t="s">
        <v>105</v>
      </c>
    </row>
    <row r="18" spans="1:3" x14ac:dyDescent="0.35">
      <c r="A18" t="s">
        <v>22</v>
      </c>
      <c r="B18" t="s">
        <v>106</v>
      </c>
    </row>
    <row r="19" spans="1:3" x14ac:dyDescent="0.35">
      <c r="A19" t="s">
        <v>23</v>
      </c>
      <c r="B19" t="s">
        <v>109</v>
      </c>
      <c r="C19" t="s">
        <v>110</v>
      </c>
    </row>
    <row r="20" spans="1:3" x14ac:dyDescent="0.35">
      <c r="A20" t="s">
        <v>24</v>
      </c>
      <c r="B20" t="s">
        <v>111</v>
      </c>
    </row>
    <row r="21" spans="1:3" x14ac:dyDescent="0.35">
      <c r="A21" t="s">
        <v>25</v>
      </c>
      <c r="B21" t="s">
        <v>112</v>
      </c>
      <c r="C21" t="s">
        <v>96</v>
      </c>
    </row>
    <row r="22" spans="1:3" x14ac:dyDescent="0.35">
      <c r="A22" t="s">
        <v>26</v>
      </c>
      <c r="B22" t="s">
        <v>113</v>
      </c>
      <c r="C22" t="s">
        <v>98</v>
      </c>
    </row>
    <row r="23" spans="1:3" x14ac:dyDescent="0.35">
      <c r="A23" t="s">
        <v>27</v>
      </c>
      <c r="B23" t="s">
        <v>114</v>
      </c>
      <c r="C23" t="s">
        <v>115</v>
      </c>
    </row>
    <row r="24" spans="1:3" x14ac:dyDescent="0.35">
      <c r="A24" t="s">
        <v>28</v>
      </c>
      <c r="B24" t="s">
        <v>116</v>
      </c>
      <c r="C24" t="s">
        <v>110</v>
      </c>
    </row>
    <row r="25" spans="1:3" x14ac:dyDescent="0.35">
      <c r="A25" t="s">
        <v>29</v>
      </c>
      <c r="B25" t="s">
        <v>117</v>
      </c>
      <c r="C25" t="s">
        <v>110</v>
      </c>
    </row>
    <row r="26" spans="1:3" x14ac:dyDescent="0.35">
      <c r="A26" t="s">
        <v>30</v>
      </c>
      <c r="B26" t="s">
        <v>109</v>
      </c>
      <c r="C26" t="s">
        <v>110</v>
      </c>
    </row>
    <row r="27" spans="1:3" x14ac:dyDescent="0.35">
      <c r="A27" t="s">
        <v>31</v>
      </c>
      <c r="B27" t="s">
        <v>111</v>
      </c>
    </row>
    <row r="28" spans="1:3" x14ac:dyDescent="0.35">
      <c r="A28" t="s">
        <v>32</v>
      </c>
      <c r="B28" t="s">
        <v>118</v>
      </c>
      <c r="C28" t="s">
        <v>119</v>
      </c>
    </row>
    <row r="29" spans="1:3" x14ac:dyDescent="0.35">
      <c r="A29" t="s">
        <v>33</v>
      </c>
      <c r="B29" t="s">
        <v>120</v>
      </c>
      <c r="C29" t="s">
        <v>119</v>
      </c>
    </row>
    <row r="30" spans="1:3" x14ac:dyDescent="0.35">
      <c r="A30" t="s">
        <v>34</v>
      </c>
      <c r="B30" t="s">
        <v>121</v>
      </c>
      <c r="C30" t="s">
        <v>115</v>
      </c>
    </row>
    <row r="31" spans="1:3" x14ac:dyDescent="0.35">
      <c r="A31" t="s">
        <v>35</v>
      </c>
      <c r="B31" t="s">
        <v>122</v>
      </c>
      <c r="C31" t="s">
        <v>123</v>
      </c>
    </row>
    <row r="32" spans="1:3" x14ac:dyDescent="0.35">
      <c r="A32" t="s">
        <v>36</v>
      </c>
      <c r="B32" t="s">
        <v>124</v>
      </c>
      <c r="C32" t="s">
        <v>125</v>
      </c>
    </row>
    <row r="33" spans="1:3" x14ac:dyDescent="0.35">
      <c r="A33" t="s">
        <v>37</v>
      </c>
      <c r="B33" t="s">
        <v>126</v>
      </c>
      <c r="C33" t="s">
        <v>110</v>
      </c>
    </row>
    <row r="34" spans="1:3" x14ac:dyDescent="0.35">
      <c r="A34" t="s">
        <v>38</v>
      </c>
      <c r="B34" t="s">
        <v>127</v>
      </c>
      <c r="C34" t="s">
        <v>128</v>
      </c>
    </row>
    <row r="35" spans="1:3" x14ac:dyDescent="0.35">
      <c r="A35" t="s">
        <v>39</v>
      </c>
      <c r="B35" t="s">
        <v>129</v>
      </c>
      <c r="C35" t="s">
        <v>128</v>
      </c>
    </row>
    <row r="36" spans="1:3" x14ac:dyDescent="0.35">
      <c r="A36" t="s">
        <v>40</v>
      </c>
      <c r="B36" t="s">
        <v>130</v>
      </c>
      <c r="C36" t="s">
        <v>131</v>
      </c>
    </row>
    <row r="37" spans="1:3" x14ac:dyDescent="0.35">
      <c r="A37" t="s">
        <v>41</v>
      </c>
      <c r="B37" t="s">
        <v>132</v>
      </c>
    </row>
    <row r="38" spans="1:3" x14ac:dyDescent="0.35">
      <c r="A38" t="s">
        <v>42</v>
      </c>
      <c r="B38" t="s">
        <v>133</v>
      </c>
    </row>
    <row r="39" spans="1:3" x14ac:dyDescent="0.35">
      <c r="A39" t="s">
        <v>43</v>
      </c>
      <c r="B39" t="s">
        <v>134</v>
      </c>
    </row>
    <row r="40" spans="1:3" x14ac:dyDescent="0.35">
      <c r="A40" t="s">
        <v>44</v>
      </c>
      <c r="B40" t="s">
        <v>135</v>
      </c>
    </row>
    <row r="41" spans="1:3" x14ac:dyDescent="0.35">
      <c r="A41" t="s">
        <v>45</v>
      </c>
      <c r="B41" t="s">
        <v>136</v>
      </c>
    </row>
    <row r="42" spans="1:3" x14ac:dyDescent="0.35">
      <c r="A42" t="s">
        <v>46</v>
      </c>
      <c r="B42" t="s">
        <v>137</v>
      </c>
    </row>
    <row r="43" spans="1:3" x14ac:dyDescent="0.35">
      <c r="A43" t="s">
        <v>47</v>
      </c>
      <c r="B43" t="s">
        <v>138</v>
      </c>
    </row>
    <row r="44" spans="1:3" x14ac:dyDescent="0.35">
      <c r="A44" t="s">
        <v>48</v>
      </c>
      <c r="B44" t="s">
        <v>139</v>
      </c>
    </row>
    <row r="45" spans="1:3" x14ac:dyDescent="0.35">
      <c r="A45" t="s">
        <v>49</v>
      </c>
      <c r="B45" t="s">
        <v>139</v>
      </c>
    </row>
    <row r="46" spans="1:3" x14ac:dyDescent="0.35">
      <c r="A46" t="s">
        <v>50</v>
      </c>
      <c r="B46" t="s">
        <v>139</v>
      </c>
    </row>
    <row r="47" spans="1:3" x14ac:dyDescent="0.35">
      <c r="A47" t="s">
        <v>51</v>
      </c>
      <c r="B47" t="s">
        <v>139</v>
      </c>
    </row>
    <row r="48" spans="1:3" x14ac:dyDescent="0.35">
      <c r="A48" t="s">
        <v>52</v>
      </c>
      <c r="B48" t="s">
        <v>139</v>
      </c>
    </row>
    <row r="49" spans="1:3" x14ac:dyDescent="0.35">
      <c r="A49" t="s">
        <v>53</v>
      </c>
      <c r="B49" t="s">
        <v>139</v>
      </c>
    </row>
    <row r="50" spans="1:3" x14ac:dyDescent="0.35">
      <c r="A50" t="s">
        <v>54</v>
      </c>
      <c r="B50" t="s">
        <v>139</v>
      </c>
    </row>
    <row r="51" spans="1:3" x14ac:dyDescent="0.35">
      <c r="A51" t="s">
        <v>55</v>
      </c>
      <c r="B51" t="s">
        <v>140</v>
      </c>
      <c r="C51" t="s">
        <v>119</v>
      </c>
    </row>
    <row r="52" spans="1:3" x14ac:dyDescent="0.35">
      <c r="A52" t="s">
        <v>56</v>
      </c>
      <c r="B52" t="s">
        <v>141</v>
      </c>
      <c r="C52" t="s">
        <v>115</v>
      </c>
    </row>
    <row r="53" spans="1:3" x14ac:dyDescent="0.35">
      <c r="A53" t="s">
        <v>57</v>
      </c>
      <c r="B53" t="s">
        <v>142</v>
      </c>
      <c r="C53" t="s">
        <v>123</v>
      </c>
    </row>
    <row r="54" spans="1:3" x14ac:dyDescent="0.35">
      <c r="A54" t="s">
        <v>58</v>
      </c>
      <c r="B54" t="s">
        <v>143</v>
      </c>
      <c r="C54" t="s">
        <v>125</v>
      </c>
    </row>
    <row r="55" spans="1:3" x14ac:dyDescent="0.35">
      <c r="A55" t="s">
        <v>59</v>
      </c>
      <c r="B55" t="s">
        <v>144</v>
      </c>
      <c r="C55" t="s">
        <v>110</v>
      </c>
    </row>
    <row r="56" spans="1:3" x14ac:dyDescent="0.35">
      <c r="A56" t="s">
        <v>60</v>
      </c>
      <c r="B56" t="s">
        <v>145</v>
      </c>
      <c r="C56" t="s">
        <v>128</v>
      </c>
    </row>
    <row r="57" spans="1:3" x14ac:dyDescent="0.35">
      <c r="A57" t="s">
        <v>61</v>
      </c>
      <c r="B57" t="s">
        <v>146</v>
      </c>
      <c r="C57" t="s">
        <v>128</v>
      </c>
    </row>
    <row r="58" spans="1:3" x14ac:dyDescent="0.35">
      <c r="A58" t="s">
        <v>62</v>
      </c>
      <c r="B58" t="s">
        <v>147</v>
      </c>
      <c r="C58" t="s">
        <v>131</v>
      </c>
    </row>
    <row r="59" spans="1:3" x14ac:dyDescent="0.35">
      <c r="A59" t="s">
        <v>63</v>
      </c>
      <c r="B59" t="s">
        <v>148</v>
      </c>
    </row>
    <row r="60" spans="1:3" x14ac:dyDescent="0.35">
      <c r="A60" t="s">
        <v>64</v>
      </c>
      <c r="B60" t="s">
        <v>149</v>
      </c>
    </row>
    <row r="61" spans="1:3" x14ac:dyDescent="0.35">
      <c r="A61" t="s">
        <v>65</v>
      </c>
      <c r="B61" t="s">
        <v>150</v>
      </c>
    </row>
    <row r="62" spans="1:3" x14ac:dyDescent="0.35">
      <c r="A62" t="s">
        <v>66</v>
      </c>
      <c r="B62" t="s">
        <v>151</v>
      </c>
    </row>
    <row r="63" spans="1:3" x14ac:dyDescent="0.35">
      <c r="A63" t="s">
        <v>67</v>
      </c>
      <c r="B63" t="s">
        <v>152</v>
      </c>
    </row>
    <row r="64" spans="1:3" x14ac:dyDescent="0.35">
      <c r="A64" t="s">
        <v>68</v>
      </c>
      <c r="B64" t="s">
        <v>153</v>
      </c>
    </row>
    <row r="65" spans="1:3" x14ac:dyDescent="0.35">
      <c r="A65" t="s">
        <v>69</v>
      </c>
      <c r="B65" t="s">
        <v>154</v>
      </c>
    </row>
    <row r="66" spans="1:3" x14ac:dyDescent="0.35">
      <c r="A66" t="s">
        <v>70</v>
      </c>
      <c r="B66" t="s">
        <v>139</v>
      </c>
    </row>
    <row r="67" spans="1:3" x14ac:dyDescent="0.35">
      <c r="A67" t="s">
        <v>71</v>
      </c>
      <c r="B67" t="s">
        <v>139</v>
      </c>
    </row>
    <row r="68" spans="1:3" x14ac:dyDescent="0.35">
      <c r="A68" t="s">
        <v>72</v>
      </c>
      <c r="B68" t="s">
        <v>139</v>
      </c>
    </row>
    <row r="69" spans="1:3" x14ac:dyDescent="0.35">
      <c r="A69" t="s">
        <v>73</v>
      </c>
      <c r="B69" t="s">
        <v>139</v>
      </c>
    </row>
    <row r="70" spans="1:3" x14ac:dyDescent="0.35">
      <c r="A70" t="s">
        <v>74</v>
      </c>
      <c r="B70" t="s">
        <v>139</v>
      </c>
    </row>
    <row r="71" spans="1:3" x14ac:dyDescent="0.35">
      <c r="A71" t="s">
        <v>75</v>
      </c>
      <c r="B71" t="s">
        <v>139</v>
      </c>
    </row>
    <row r="72" spans="1:3" x14ac:dyDescent="0.35">
      <c r="A72" t="s">
        <v>76</v>
      </c>
      <c r="B72" t="s">
        <v>139</v>
      </c>
    </row>
    <row r="73" spans="1:3" x14ac:dyDescent="0.35">
      <c r="A73" t="s">
        <v>77</v>
      </c>
      <c r="B73" t="s">
        <v>155</v>
      </c>
      <c r="C73" t="s">
        <v>105</v>
      </c>
    </row>
    <row r="74" spans="1:3" x14ac:dyDescent="0.35">
      <c r="A74" t="s">
        <v>78</v>
      </c>
      <c r="B74" t="s">
        <v>156</v>
      </c>
      <c r="C74" t="s">
        <v>105</v>
      </c>
    </row>
    <row r="75" spans="1:3" x14ac:dyDescent="0.35">
      <c r="A75" t="s">
        <v>79</v>
      </c>
      <c r="B75" t="s">
        <v>157</v>
      </c>
      <c r="C75" t="s">
        <v>105</v>
      </c>
    </row>
    <row r="76" spans="1:3" x14ac:dyDescent="0.35">
      <c r="A76" t="s">
        <v>80</v>
      </c>
      <c r="B76" t="s">
        <v>158</v>
      </c>
      <c r="C76" t="s">
        <v>110</v>
      </c>
    </row>
    <row r="77" spans="1:3" x14ac:dyDescent="0.35">
      <c r="A77" t="s">
        <v>81</v>
      </c>
      <c r="B77" t="s">
        <v>159</v>
      </c>
      <c r="C77" t="s">
        <v>110</v>
      </c>
    </row>
    <row r="78" spans="1:3" x14ac:dyDescent="0.35">
      <c r="A78" t="s">
        <v>82</v>
      </c>
      <c r="B78" t="s">
        <v>160</v>
      </c>
      <c r="C78" t="s">
        <v>96</v>
      </c>
    </row>
    <row r="79" spans="1:3" x14ac:dyDescent="0.35">
      <c r="A79" t="s">
        <v>83</v>
      </c>
      <c r="B79" t="s">
        <v>161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N26"/>
  <sheetViews>
    <sheetView workbookViewId="0">
      <selection activeCell="R21" sqref="R21"/>
    </sheetView>
  </sheetViews>
  <sheetFormatPr defaultRowHeight="14.5" x14ac:dyDescent="0.35"/>
  <cols>
    <col min="1" max="1" width="9.36328125" style="25"/>
    <col min="3" max="3" width="15.453125" customWidth="1"/>
    <col min="4" max="4" width="20.1796875" customWidth="1"/>
    <col min="5" max="5" width="13.36328125" customWidth="1"/>
    <col min="7" max="7" width="12.36328125" customWidth="1"/>
    <col min="9" max="9" width="14.36328125" customWidth="1"/>
    <col min="10" max="10" width="15.36328125" bestFit="1" customWidth="1"/>
  </cols>
  <sheetData>
    <row r="1" spans="1:14" x14ac:dyDescent="0.35">
      <c r="A1" s="37" t="s">
        <v>5</v>
      </c>
      <c r="B1" s="37"/>
      <c r="C1" s="37"/>
      <c r="D1" s="37"/>
      <c r="E1" s="37"/>
      <c r="F1" s="37"/>
      <c r="G1" s="37"/>
      <c r="H1" s="37"/>
      <c r="I1" s="37"/>
      <c r="J1" s="19"/>
      <c r="K1" s="19"/>
      <c r="L1" s="19"/>
    </row>
    <row r="2" spans="1:14" x14ac:dyDescent="0.35">
      <c r="A2" s="25" t="s">
        <v>6</v>
      </c>
      <c r="B2" s="1" t="s">
        <v>7</v>
      </c>
      <c r="C2" s="1" t="s">
        <v>162</v>
      </c>
      <c r="D2" s="1" t="s">
        <v>163</v>
      </c>
      <c r="E2" s="1" t="s">
        <v>164</v>
      </c>
      <c r="F2" s="9" t="s">
        <v>165</v>
      </c>
      <c r="G2" s="2" t="s">
        <v>166</v>
      </c>
      <c r="H2" s="2" t="s">
        <v>167</v>
      </c>
      <c r="I2" s="3" t="s">
        <v>168</v>
      </c>
      <c r="J2" s="2" t="s">
        <v>169</v>
      </c>
      <c r="K2" s="3"/>
      <c r="L2" s="2"/>
    </row>
    <row r="3" spans="1:14" x14ac:dyDescent="0.35">
      <c r="A3" s="25" t="s">
        <v>182</v>
      </c>
      <c r="B3">
        <v>42</v>
      </c>
      <c r="C3">
        <v>0.1</v>
      </c>
      <c r="D3" t="s">
        <v>185</v>
      </c>
      <c r="E3">
        <v>27.9</v>
      </c>
      <c r="G3">
        <v>115</v>
      </c>
      <c r="H3">
        <v>25</v>
      </c>
    </row>
    <row r="4" spans="1:14" x14ac:dyDescent="0.35">
      <c r="A4" s="25" t="s">
        <v>182</v>
      </c>
      <c r="B4">
        <v>42</v>
      </c>
      <c r="C4">
        <v>0.1</v>
      </c>
      <c r="D4" t="s">
        <v>186</v>
      </c>
      <c r="E4">
        <v>27.9</v>
      </c>
      <c r="G4">
        <v>115</v>
      </c>
      <c r="H4">
        <v>25</v>
      </c>
    </row>
    <row r="5" spans="1:14" x14ac:dyDescent="0.35">
      <c r="A5" s="25" t="s">
        <v>182</v>
      </c>
      <c r="B5">
        <v>44</v>
      </c>
      <c r="C5">
        <v>0.1</v>
      </c>
      <c r="D5" t="s">
        <v>215</v>
      </c>
      <c r="E5">
        <v>28</v>
      </c>
      <c r="G5">
        <v>115</v>
      </c>
      <c r="H5">
        <v>25</v>
      </c>
    </row>
    <row r="6" spans="1:14" x14ac:dyDescent="0.35">
      <c r="A6" s="25" t="s">
        <v>182</v>
      </c>
      <c r="B6">
        <v>44</v>
      </c>
      <c r="C6">
        <v>0.1</v>
      </c>
      <c r="D6" t="s">
        <v>226</v>
      </c>
      <c r="E6">
        <v>28</v>
      </c>
      <c r="G6">
        <v>115</v>
      </c>
      <c r="H6">
        <v>25</v>
      </c>
    </row>
    <row r="7" spans="1:14" x14ac:dyDescent="0.35">
      <c r="A7" s="25" t="s">
        <v>182</v>
      </c>
      <c r="B7">
        <v>43</v>
      </c>
      <c r="C7">
        <v>0.1</v>
      </c>
      <c r="D7" t="s">
        <v>216</v>
      </c>
      <c r="E7">
        <v>28</v>
      </c>
      <c r="G7">
        <v>115</v>
      </c>
      <c r="H7">
        <v>25</v>
      </c>
      <c r="N7" s="25"/>
    </row>
    <row r="8" spans="1:14" x14ac:dyDescent="0.35">
      <c r="A8" s="25" t="s">
        <v>182</v>
      </c>
      <c r="B8">
        <v>43</v>
      </c>
      <c r="C8">
        <v>0.1</v>
      </c>
      <c r="D8" t="s">
        <v>227</v>
      </c>
      <c r="E8">
        <v>28</v>
      </c>
      <c r="G8">
        <v>115</v>
      </c>
      <c r="H8">
        <v>25</v>
      </c>
      <c r="N8" s="25"/>
    </row>
    <row r="9" spans="1:14" x14ac:dyDescent="0.35">
      <c r="A9" s="25" t="s">
        <v>182</v>
      </c>
      <c r="B9">
        <v>41</v>
      </c>
      <c r="C9">
        <v>0.1</v>
      </c>
      <c r="D9" t="s">
        <v>217</v>
      </c>
      <c r="E9">
        <v>28.5</v>
      </c>
      <c r="G9">
        <v>115</v>
      </c>
      <c r="H9">
        <v>25</v>
      </c>
      <c r="N9" s="25"/>
    </row>
    <row r="10" spans="1:14" x14ac:dyDescent="0.35">
      <c r="A10" s="25" t="s">
        <v>182</v>
      </c>
      <c r="B10">
        <v>41</v>
      </c>
      <c r="C10">
        <v>0.1</v>
      </c>
      <c r="D10" t="s">
        <v>228</v>
      </c>
      <c r="E10">
        <v>28.5</v>
      </c>
      <c r="G10">
        <v>115</v>
      </c>
      <c r="H10">
        <v>25</v>
      </c>
      <c r="N10" s="25"/>
    </row>
    <row r="11" spans="1:14" x14ac:dyDescent="0.35">
      <c r="A11" s="25" t="s">
        <v>182</v>
      </c>
      <c r="B11">
        <v>4</v>
      </c>
      <c r="C11">
        <v>0.1</v>
      </c>
      <c r="D11" t="s">
        <v>218</v>
      </c>
      <c r="E11">
        <v>28.5</v>
      </c>
      <c r="G11">
        <v>115</v>
      </c>
      <c r="H11">
        <v>25</v>
      </c>
      <c r="N11" s="25"/>
    </row>
    <row r="12" spans="1:14" x14ac:dyDescent="0.35">
      <c r="A12" s="25" t="s">
        <v>182</v>
      </c>
      <c r="B12">
        <v>4</v>
      </c>
      <c r="C12">
        <v>0.1</v>
      </c>
      <c r="D12" t="s">
        <v>229</v>
      </c>
      <c r="E12">
        <v>28.5</v>
      </c>
      <c r="G12">
        <v>115</v>
      </c>
      <c r="H12">
        <v>25</v>
      </c>
      <c r="N12" s="25"/>
    </row>
    <row r="13" spans="1:14" x14ac:dyDescent="0.35">
      <c r="A13" s="25" t="s">
        <v>182</v>
      </c>
      <c r="B13">
        <v>14</v>
      </c>
      <c r="C13">
        <v>0.1</v>
      </c>
      <c r="D13" t="s">
        <v>219</v>
      </c>
      <c r="E13">
        <v>29</v>
      </c>
      <c r="G13">
        <v>115</v>
      </c>
      <c r="H13">
        <v>25</v>
      </c>
      <c r="N13" s="25"/>
    </row>
    <row r="14" spans="1:14" x14ac:dyDescent="0.35">
      <c r="A14" s="25" t="s">
        <v>182</v>
      </c>
      <c r="B14">
        <v>14</v>
      </c>
      <c r="C14">
        <v>0.1</v>
      </c>
      <c r="D14" t="s">
        <v>230</v>
      </c>
      <c r="E14">
        <v>29</v>
      </c>
      <c r="G14">
        <v>115</v>
      </c>
      <c r="H14">
        <v>25</v>
      </c>
      <c r="N14" s="25"/>
    </row>
    <row r="15" spans="1:14" x14ac:dyDescent="0.35">
      <c r="A15" s="25" t="s">
        <v>182</v>
      </c>
      <c r="B15">
        <v>15</v>
      </c>
      <c r="C15">
        <v>0.1</v>
      </c>
      <c r="D15" t="s">
        <v>220</v>
      </c>
      <c r="E15">
        <v>29</v>
      </c>
      <c r="G15">
        <v>115</v>
      </c>
      <c r="H15">
        <v>25</v>
      </c>
      <c r="N15" s="25"/>
    </row>
    <row r="16" spans="1:14" x14ac:dyDescent="0.35">
      <c r="A16" s="25" t="s">
        <v>182</v>
      </c>
      <c r="B16">
        <v>15</v>
      </c>
      <c r="C16">
        <v>0.1</v>
      </c>
      <c r="D16" t="s">
        <v>231</v>
      </c>
      <c r="E16">
        <v>29</v>
      </c>
      <c r="G16">
        <v>115</v>
      </c>
      <c r="H16">
        <v>25</v>
      </c>
      <c r="N16" s="25"/>
    </row>
    <row r="17" spans="1:8" x14ac:dyDescent="0.35">
      <c r="A17" s="25" t="s">
        <v>182</v>
      </c>
      <c r="B17">
        <v>7</v>
      </c>
      <c r="C17">
        <v>0.1</v>
      </c>
      <c r="D17" t="s">
        <v>221</v>
      </c>
      <c r="E17">
        <v>29.5</v>
      </c>
      <c r="G17">
        <v>115</v>
      </c>
      <c r="H17">
        <v>25</v>
      </c>
    </row>
    <row r="18" spans="1:8" x14ac:dyDescent="0.35">
      <c r="A18" s="25" t="s">
        <v>182</v>
      </c>
      <c r="B18">
        <v>7</v>
      </c>
      <c r="C18">
        <v>0.1</v>
      </c>
      <c r="D18" t="s">
        <v>232</v>
      </c>
      <c r="E18">
        <v>29.5</v>
      </c>
      <c r="G18">
        <v>115</v>
      </c>
      <c r="H18">
        <v>25</v>
      </c>
    </row>
    <row r="19" spans="1:8" x14ac:dyDescent="0.35">
      <c r="A19" s="25" t="s">
        <v>182</v>
      </c>
      <c r="B19">
        <v>1</v>
      </c>
      <c r="C19">
        <v>0.1</v>
      </c>
      <c r="D19" t="s">
        <v>222</v>
      </c>
      <c r="E19">
        <v>30.5</v>
      </c>
      <c r="G19">
        <v>115</v>
      </c>
      <c r="H19">
        <v>25</v>
      </c>
    </row>
    <row r="20" spans="1:8" x14ac:dyDescent="0.35">
      <c r="A20" s="25" t="s">
        <v>182</v>
      </c>
      <c r="B20">
        <v>1</v>
      </c>
      <c r="C20">
        <v>0.1</v>
      </c>
      <c r="D20" t="s">
        <v>233</v>
      </c>
      <c r="E20">
        <v>30.5</v>
      </c>
      <c r="G20">
        <v>115</v>
      </c>
      <c r="H20">
        <v>25</v>
      </c>
    </row>
    <row r="21" spans="1:8" x14ac:dyDescent="0.35">
      <c r="A21" s="25" t="s">
        <v>182</v>
      </c>
      <c r="B21">
        <v>5</v>
      </c>
      <c r="C21">
        <v>0.1</v>
      </c>
      <c r="D21" t="s">
        <v>223</v>
      </c>
      <c r="E21">
        <v>30.8</v>
      </c>
      <c r="G21">
        <v>115</v>
      </c>
      <c r="H21">
        <v>25</v>
      </c>
    </row>
    <row r="22" spans="1:8" x14ac:dyDescent="0.35">
      <c r="A22" s="25" t="s">
        <v>182</v>
      </c>
      <c r="B22">
        <v>5</v>
      </c>
      <c r="C22">
        <v>0.1</v>
      </c>
      <c r="D22" t="s">
        <v>234</v>
      </c>
      <c r="E22">
        <v>30.8</v>
      </c>
      <c r="G22">
        <v>115</v>
      </c>
      <c r="H22">
        <v>25</v>
      </c>
    </row>
    <row r="23" spans="1:8" x14ac:dyDescent="0.35">
      <c r="A23" s="25" t="s">
        <v>182</v>
      </c>
      <c r="B23">
        <v>2</v>
      </c>
      <c r="C23">
        <v>0.1</v>
      </c>
      <c r="D23" t="s">
        <v>224</v>
      </c>
      <c r="G23">
        <v>115</v>
      </c>
      <c r="H23">
        <v>25</v>
      </c>
    </row>
    <row r="24" spans="1:8" x14ac:dyDescent="0.35">
      <c r="A24" s="25" t="s">
        <v>182</v>
      </c>
      <c r="B24">
        <v>2</v>
      </c>
      <c r="C24">
        <v>0.1</v>
      </c>
      <c r="D24" t="s">
        <v>235</v>
      </c>
      <c r="G24">
        <v>115</v>
      </c>
      <c r="H24">
        <v>25</v>
      </c>
    </row>
    <row r="25" spans="1:8" x14ac:dyDescent="0.35">
      <c r="A25" s="25" t="s">
        <v>182</v>
      </c>
      <c r="B25">
        <v>3</v>
      </c>
      <c r="C25">
        <v>0.1</v>
      </c>
      <c r="D25" t="s">
        <v>225</v>
      </c>
      <c r="G25">
        <v>115</v>
      </c>
      <c r="H25">
        <v>25</v>
      </c>
    </row>
    <row r="26" spans="1:8" x14ac:dyDescent="0.35">
      <c r="A26" s="25" t="s">
        <v>182</v>
      </c>
      <c r="B26">
        <v>3</v>
      </c>
      <c r="C26">
        <v>0.1</v>
      </c>
      <c r="D26" t="s">
        <v>236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5" x14ac:dyDescent="0.35"/>
  <cols>
    <col min="1" max="1" width="17.6328125" bestFit="1" customWidth="1"/>
    <col min="2" max="2" width="63.54296875" customWidth="1"/>
    <col min="3" max="3" width="49.54296875" bestFit="1" customWidth="1"/>
  </cols>
  <sheetData>
    <row r="1" spans="1:3" x14ac:dyDescent="0.35">
      <c r="A1" t="s">
        <v>84</v>
      </c>
      <c r="B1" t="s">
        <v>85</v>
      </c>
      <c r="C1" t="s">
        <v>86</v>
      </c>
    </row>
    <row r="2" spans="1:3" x14ac:dyDescent="0.35">
      <c r="A2" t="s">
        <v>6</v>
      </c>
      <c r="B2" t="s">
        <v>87</v>
      </c>
      <c r="C2" t="s">
        <v>170</v>
      </c>
    </row>
    <row r="3" spans="1:3" x14ac:dyDescent="0.35">
      <c r="A3" t="s">
        <v>7</v>
      </c>
      <c r="B3" t="s">
        <v>89</v>
      </c>
      <c r="C3" t="s">
        <v>171</v>
      </c>
    </row>
    <row r="4" spans="1:3" x14ac:dyDescent="0.35">
      <c r="A4" s="20" t="s">
        <v>162</v>
      </c>
      <c r="B4" s="16" t="s">
        <v>172</v>
      </c>
      <c r="C4" s="17" t="s">
        <v>173</v>
      </c>
    </row>
    <row r="5" spans="1:3" x14ac:dyDescent="0.35">
      <c r="A5" s="20" t="s">
        <v>163</v>
      </c>
      <c r="B5" t="s">
        <v>174</v>
      </c>
      <c r="C5" t="s">
        <v>105</v>
      </c>
    </row>
    <row r="6" spans="1:3" x14ac:dyDescent="0.35">
      <c r="A6" s="20" t="s">
        <v>164</v>
      </c>
      <c r="B6" t="s">
        <v>175</v>
      </c>
      <c r="C6" t="s">
        <v>115</v>
      </c>
    </row>
    <row r="7" spans="1:3" x14ac:dyDescent="0.35">
      <c r="A7" s="21" t="s">
        <v>165</v>
      </c>
      <c r="B7" t="s">
        <v>106</v>
      </c>
    </row>
    <row r="8" spans="1:3" x14ac:dyDescent="0.35">
      <c r="A8" s="20" t="s">
        <v>166</v>
      </c>
      <c r="B8" t="s">
        <v>176</v>
      </c>
      <c r="C8" t="s">
        <v>177</v>
      </c>
    </row>
    <row r="9" spans="1:3" x14ac:dyDescent="0.35">
      <c r="A9" s="20" t="s">
        <v>167</v>
      </c>
      <c r="B9" t="s">
        <v>178</v>
      </c>
      <c r="C9" t="s">
        <v>177</v>
      </c>
    </row>
    <row r="10" spans="1:3" x14ac:dyDescent="0.35">
      <c r="A10" s="22" t="s">
        <v>168</v>
      </c>
      <c r="B10" t="s">
        <v>179</v>
      </c>
      <c r="C10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00C0C330-DE6C-43A9-ABBF-85BC796EC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Russell, James</cp:lastModifiedBy>
  <cp:revision/>
  <dcterms:created xsi:type="dcterms:W3CDTF">2018-12-19T15:36:15Z</dcterms:created>
  <dcterms:modified xsi:type="dcterms:W3CDTF">2024-06-25T13:34:29Z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