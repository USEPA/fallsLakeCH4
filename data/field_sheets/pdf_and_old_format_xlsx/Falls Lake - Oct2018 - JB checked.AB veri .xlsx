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ALZ\OneDrive - Environmental Protection Agency (EPA)\Profile\Desktop\falls lake data check\"/>
    </mc:Choice>
  </mc:AlternateContent>
  <xr:revisionPtr revIDLastSave="5" documentId="13_ncr:1_{7E0FDF4D-4355-9549-8E5E-9548965A1775}" xr6:coauthVersionLast="44" xr6:coauthVersionMax="45" xr10:uidLastSave="{806A53CD-F5B2-485A-B201-2F3C117408CC}"/>
  <bookViews>
    <workbookView xWindow="-120" yWindow="-120" windowWidth="20730" windowHeight="11160" xr2:uid="{6B085CF2-4205-0646-BC14-E504E97E2E82}"/>
  </bookViews>
  <sheets>
    <sheet name="oct2018" sheetId="1" r:id="rId1"/>
    <sheet name="Orig v Q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121" i="2" l="1"/>
  <c r="AS97" i="2"/>
  <c r="AS95" i="2"/>
  <c r="AS33" i="2"/>
  <c r="AS23" i="2"/>
  <c r="AS120" i="2" l="1"/>
  <c r="AS96" i="2"/>
  <c r="AS94" i="2"/>
  <c r="AS32" i="2"/>
  <c r="AS22" i="2"/>
  <c r="AS57" i="1" l="1"/>
  <c r="AS45" i="1"/>
  <c r="AS44" i="1"/>
  <c r="AS13" i="1"/>
  <c r="AS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AS46" authorId="0" shapeId="0" xr:uid="{2A60C1E4-075D-C240-A33C-676D162A4614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This value is difficult to read from the data sheet and may not be accurately represented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Trygstad, Paul</author>
  </authors>
  <commentList>
    <comment ref="AS98" authorId="0" shapeId="0" xr:uid="{57115194-DA45-874A-8B2C-C42C6F477052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This value is difficult to read from the data sheet and may not be accurately represented here.</t>
        </r>
      </text>
    </comment>
    <comment ref="AS99" authorId="0" shapeId="0" xr:uid="{44022E7B-7E96-8B49-9DDA-57DB69F92775}">
      <text>
        <r>
          <rPr>
            <b/>
            <sz val="9"/>
            <color indexed="81"/>
            <rFont val="Tahoma"/>
            <family val="2"/>
          </rPr>
          <t>Trygstad, Paul:</t>
        </r>
        <r>
          <rPr>
            <sz val="9"/>
            <color indexed="81"/>
            <rFont val="Tahoma"/>
            <family val="2"/>
          </rPr>
          <t xml:space="preserve">
This value is difficult to read from the data sheet and may not be accurately represented here.</t>
        </r>
      </text>
    </comment>
  </commentList>
</comments>
</file>

<file path=xl/sharedStrings.xml><?xml version="1.0" encoding="utf-8"?>
<sst xmlns="http://schemas.openxmlformats.org/spreadsheetml/2006/main" count="2881" uniqueCount="188">
  <si>
    <t>siteID</t>
  </si>
  <si>
    <t>xcoord</t>
  </si>
  <si>
    <t>ycoord</t>
  </si>
  <si>
    <t>mdcaty</t>
  </si>
  <si>
    <t>wgt</t>
  </si>
  <si>
    <t>stratum</t>
  </si>
  <si>
    <t>panel</t>
  </si>
  <si>
    <t>EvalStatus</t>
  </si>
  <si>
    <t>EvalReason</t>
  </si>
  <si>
    <t>Area_km2</t>
  </si>
  <si>
    <t>Perim_km</t>
  </si>
  <si>
    <t>GNIS_Name</t>
  </si>
  <si>
    <t>deplyDt</t>
  </si>
  <si>
    <t>deplyTm</t>
  </si>
  <si>
    <t>chmStTm</t>
  </si>
  <si>
    <t>chmDplDt</t>
  </si>
  <si>
    <t>chm_vol</t>
  </si>
  <si>
    <t>bbblngO</t>
  </si>
  <si>
    <t>wtrDpth</t>
  </si>
  <si>
    <t>smDpthS</t>
  </si>
  <si>
    <t>Tmp_C_S</t>
  </si>
  <si>
    <t>DOPrc_S</t>
  </si>
  <si>
    <t>DO__L_S</t>
  </si>
  <si>
    <t>SpCn__S</t>
  </si>
  <si>
    <t>pH_S</t>
  </si>
  <si>
    <t>ORP_S</t>
  </si>
  <si>
    <t>TrNTU_S</t>
  </si>
  <si>
    <t>chla_S</t>
  </si>
  <si>
    <t>smDpthD</t>
  </si>
  <si>
    <t>Tmp_C_D</t>
  </si>
  <si>
    <t>DOPrc_D</t>
  </si>
  <si>
    <t>DO__L_D</t>
  </si>
  <si>
    <t>SpCn__D</t>
  </si>
  <si>
    <t>pH_D</t>
  </si>
  <si>
    <t>ORP_D</t>
  </si>
  <si>
    <t>TrNTU_D</t>
  </si>
  <si>
    <t>chla_D</t>
  </si>
  <si>
    <t>ArExtnrs</t>
  </si>
  <si>
    <t>DG_Extn</t>
  </si>
  <si>
    <t>H2O_vol</t>
  </si>
  <si>
    <t>HeVol</t>
  </si>
  <si>
    <t>BrPrssr</t>
  </si>
  <si>
    <t>RtrvDat</t>
  </si>
  <si>
    <t>RtrvTim</t>
  </si>
  <si>
    <t>TtTrpVl</t>
  </si>
  <si>
    <t>TrapExtn</t>
  </si>
  <si>
    <t>Notes</t>
  </si>
  <si>
    <t>LatSamp</t>
  </si>
  <si>
    <t>LongSmp</t>
  </si>
  <si>
    <t>SU-01</t>
  </si>
  <si>
    <t>upper_dam</t>
  </si>
  <si>
    <t>open_water</t>
  </si>
  <si>
    <t>mainSites</t>
  </si>
  <si>
    <t>sampled</t>
  </si>
  <si>
    <t>NA</t>
  </si>
  <si>
    <t>Falls Lake</t>
  </si>
  <si>
    <t>n</t>
  </si>
  <si>
    <t>SU-02</t>
  </si>
  <si>
    <t>lower_dam</t>
  </si>
  <si>
    <t>SU-03</t>
  </si>
  <si>
    <t>north_west</t>
  </si>
  <si>
    <t>10232018.FL.03.DG.01, 10232018.FL.03.DG.02</t>
  </si>
  <si>
    <t>SU-04</t>
  </si>
  <si>
    <t>SU-05</t>
  </si>
  <si>
    <t>SU-06</t>
  </si>
  <si>
    <t>SU-07</t>
  </si>
  <si>
    <t>y</t>
  </si>
  <si>
    <t>10222018.FL.07.BT.01</t>
  </si>
  <si>
    <t>SU-08</t>
  </si>
  <si>
    <t>10222018.FL.08.BT.01</t>
  </si>
  <si>
    <t>SU-09</t>
  </si>
  <si>
    <t>SU-10</t>
  </si>
  <si>
    <t>SU-11</t>
  </si>
  <si>
    <t>SU-12</t>
  </si>
  <si>
    <t>10222018.FL.12.BT.01</t>
  </si>
  <si>
    <t>SU-13</t>
  </si>
  <si>
    <t>SU-14</t>
  </si>
  <si>
    <t>middle</t>
  </si>
  <si>
    <t>SU-15</t>
  </si>
  <si>
    <t>SU-16</t>
  </si>
  <si>
    <t>10222018.FL.16.BT.01</t>
  </si>
  <si>
    <t>SU-17</t>
  </si>
  <si>
    <t>SU-18</t>
  </si>
  <si>
    <t>SU-19</t>
  </si>
  <si>
    <t>SU-20</t>
  </si>
  <si>
    <t>SU-21</t>
  </si>
  <si>
    <t>SU-22</t>
  </si>
  <si>
    <t>SU-23</t>
  </si>
  <si>
    <t>SU-24</t>
  </si>
  <si>
    <t>SU-25</t>
  </si>
  <si>
    <t>SU-26</t>
  </si>
  <si>
    <t>SU-27</t>
  </si>
  <si>
    <t>SU-28</t>
  </si>
  <si>
    <t>SU-29</t>
  </si>
  <si>
    <t>SU-30</t>
  </si>
  <si>
    <t>SU-31</t>
  </si>
  <si>
    <t>SU-32</t>
  </si>
  <si>
    <t>SU-33</t>
  </si>
  <si>
    <t>SU-34</t>
  </si>
  <si>
    <t>SU-35</t>
  </si>
  <si>
    <t>SU-36</t>
  </si>
  <si>
    <t>SU-37</t>
  </si>
  <si>
    <t>SU-38</t>
  </si>
  <si>
    <t>SU-39</t>
  </si>
  <si>
    <t>SU-40</t>
  </si>
  <si>
    <t>SU-41</t>
  </si>
  <si>
    <t>trib</t>
  </si>
  <si>
    <t>SU-42</t>
  </si>
  <si>
    <t>SU-43</t>
  </si>
  <si>
    <t>10222018.FL.43.BT.01</t>
  </si>
  <si>
    <t>SU-44</t>
  </si>
  <si>
    <t>10222018.FL.44.BT.01, 10222018.FL.44.BT.02</t>
  </si>
  <si>
    <t>SU-45</t>
  </si>
  <si>
    <t>SU-46</t>
  </si>
  <si>
    <t>SU-47</t>
  </si>
  <si>
    <t>10222018.FL.47.BT.01</t>
  </si>
  <si>
    <t>SU-48</t>
  </si>
  <si>
    <t>SU-49</t>
  </si>
  <si>
    <t>SU-50</t>
  </si>
  <si>
    <t>SU-51</t>
  </si>
  <si>
    <t>SU-52</t>
  </si>
  <si>
    <t>SU-53</t>
  </si>
  <si>
    <t>SU-54</t>
  </si>
  <si>
    <t>SU-55</t>
  </si>
  <si>
    <t>SU-56</t>
  </si>
  <si>
    <t>10222018.FL.56.BT.01, 10222018.FL.56.BT.02, 10222018.FL.56.BT.03</t>
  </si>
  <si>
    <t>SU-57</t>
  </si>
  <si>
    <t>SU-58</t>
  </si>
  <si>
    <t>SU-59</t>
  </si>
  <si>
    <t>SU-60</t>
  </si>
  <si>
    <t>SU-61</t>
  </si>
  <si>
    <t>SU-62</t>
  </si>
  <si>
    <t>SU-63</t>
  </si>
  <si>
    <t>SU-64</t>
  </si>
  <si>
    <t>SU-65</t>
  </si>
  <si>
    <t>SU-66</t>
  </si>
  <si>
    <t>SU-67</t>
  </si>
  <si>
    <t>SU-68</t>
  </si>
  <si>
    <t>SU-69</t>
  </si>
  <si>
    <t>SU-70</t>
  </si>
  <si>
    <t>SU-71</t>
  </si>
  <si>
    <t>SU-72</t>
  </si>
  <si>
    <t>DGA - All H20, He, and BP were incorrect, inserted into the wrong column</t>
  </si>
  <si>
    <t>10222018.FL.42.DG.01, 10222018.FL.42.DG.02</t>
  </si>
  <si>
    <t>10222018.FL.43.DG.01, 10222018.FL.43.DG.02</t>
  </si>
  <si>
    <t>10222018.FL.44.DG.01, 10222018.FL.44.DG.02</t>
  </si>
  <si>
    <t>10222018.FL.41.DG.01, 10222018.FL.41.DG.02</t>
  </si>
  <si>
    <t>10222018.FL.15.DG.01, 10222018.FL.15.DG.02</t>
  </si>
  <si>
    <t>10222018.FL.14.DG.01, 10222018.FL.14.DG.02</t>
  </si>
  <si>
    <t>10222018.FL.07.DG.01, 10222018.FL.07.DG.02</t>
  </si>
  <si>
    <t>10222018.FL.05.DG.01, 10222018.FL.05.DG.02</t>
  </si>
  <si>
    <t>10222018.FL.04.DG.01, 10222018.FL.04.DG.02</t>
  </si>
  <si>
    <t>10222018.FL.02.DG.01, 10222018.FL.02.DG.02</t>
  </si>
  <si>
    <t>10222018.FL.01.DG.01, 10222018.FL.01.DG.02</t>
  </si>
  <si>
    <t>10222018.FL.02.AA.01, 10222018.FL.02.AA.02, 10222018.FL.02.AA.03, 10222018.FL.02.AA.04, 10222018.FL.02.AA.05</t>
  </si>
  <si>
    <t>10222018.FL.41.AA.01, 10222018.FL.41.AA.02, 10222018.FL.41.AA.03, 10222018.FL.41.AA.04, 10222018.FL.41.AA.05</t>
  </si>
  <si>
    <t>DGA - All DGEc &amp; AAEc was labeled with the date 10232018.  Lab sheet said it would be 10222018</t>
  </si>
  <si>
    <t>GHGA - SU 52 has 2 entries</t>
  </si>
  <si>
    <t>GHGA - SU 43 has 2 entries</t>
  </si>
  <si>
    <t>GHGA - SU 54 has 2 entries</t>
  </si>
  <si>
    <t>GHGA - SU 21 has 3 entries</t>
  </si>
  <si>
    <t>GHGA - SU 02 has 2 entries</t>
  </si>
  <si>
    <t>JBB 4/2/20</t>
  </si>
  <si>
    <t>notEval</t>
  </si>
  <si>
    <t>overSamp</t>
  </si>
  <si>
    <t>10232018.FL.01.DG.01, 10232018.FL.01.DG.02</t>
  </si>
  <si>
    <t>10232018.FL.02.AA.01, 10232018.FL.02.AA.02, 10232018.FL.02.AA.03, 10232018.FL.02.AA.04, 10232018.FL.02.AA.05</t>
  </si>
  <si>
    <t>10232018.FL.02.DG.01, 10232018.FL.02.DG.02</t>
  </si>
  <si>
    <t>10232018.FL.04.DG.01, 10232018.FL.04.DG.02</t>
  </si>
  <si>
    <t>10232018.FL.05.DG.01, 10232018.FL.05.DG.02</t>
  </si>
  <si>
    <t>NotEval</t>
  </si>
  <si>
    <t>10232018.FL.07.DG.01, 10232018.FL.07.DG.02</t>
  </si>
  <si>
    <t>10232018.FL.14.DG.01, 10232018.FL.14.DG.02</t>
  </si>
  <si>
    <t>10232018.FL.15.DG.01, 10232018.FL.15.DG.02</t>
  </si>
  <si>
    <t>OverSamp</t>
  </si>
  <si>
    <t>10232018.FL.41.AA.01, 10232018.FL.41.AA.02, 10232018.FL.41.AA.03, 10232018.FL.41.AA.04, 10232018.FL.41.AA.05</t>
  </si>
  <si>
    <t>10232018.FL.41.DG.01, 10232018.FL.41.DG.02</t>
  </si>
  <si>
    <t>10232018.FL.42.DG.01, 10232018.FL.42.DG.02</t>
  </si>
  <si>
    <t>10232018.FL.43.DG.01, 10232018.FL.43.DG.02</t>
  </si>
  <si>
    <t>10232018.FL.44.DG.01, 10232018.FL.44.DG.02</t>
  </si>
  <si>
    <t xml:space="preserve">These Values were taken from the "Sort Ascending" values of ("Current Date" QAQC) sheet left in their QAQC'd Color format.  </t>
  </si>
  <si>
    <t>The gray values are the values taken from the Master spreadsheet</t>
  </si>
  <si>
    <t>The total pre and post QAQC data set is sorted by ascending by their site number</t>
  </si>
  <si>
    <t xml:space="preserve">The final spreadsheet should show the original v the QAQC spreadsheet revealing any changes made. </t>
  </si>
  <si>
    <t>AB - looks good</t>
  </si>
  <si>
    <t>AB - I agree with this fix</t>
  </si>
  <si>
    <t>AB - all used last deploy and look good</t>
  </si>
  <si>
    <t>AB - checked Jacob fixes and all look good 4/23/2020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</si>
</sst>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:ss;@"/>
    <numFmt numFmtId="166" formatCode="h:mm;@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0" fillId="2" borderId="0" xfId="0" applyFill="1"/>
    <xf numFmtId="14" fontId="0" fillId="2" borderId="0" xfId="0" applyNumberFormat="1" applyFill="1"/>
    <xf numFmtId="20" fontId="0" fillId="2" borderId="0" xfId="0" applyNumberFormat="1" applyFill="1"/>
    <xf numFmtId="21" fontId="0" fillId="2" borderId="0" xfId="0" applyNumberFormat="1" applyFill="1"/>
    <xf numFmtId="14" fontId="0" fillId="0" borderId="0" xfId="0" applyNumberFormat="1"/>
    <xf numFmtId="20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/>
    <xf numFmtId="0" fontId="0" fillId="3" borderId="0" xfId="0" applyFill="1"/>
    <xf numFmtId="0" fontId="0" fillId="4" borderId="0" xfId="0" applyFill="1"/>
    <xf numFmtId="0" fontId="1" fillId="0" borderId="0" xfId="0" applyFont="1" applyBorder="1"/>
    <xf numFmtId="14" fontId="0" fillId="0" borderId="0" xfId="0" applyNumberFormat="1" applyBorder="1"/>
    <xf numFmtId="164" fontId="0" fillId="0" borderId="0" xfId="0" applyNumberFormat="1" applyBorder="1"/>
    <xf numFmtId="0" fontId="0" fillId="5" borderId="0" xfId="0" applyFill="1"/>
    <xf numFmtId="14" fontId="0" fillId="5" borderId="0" xfId="0" applyNumberFormat="1" applyFill="1"/>
    <xf numFmtId="20" fontId="0" fillId="5" borderId="0" xfId="0" applyNumberFormat="1" applyFill="1"/>
    <xf numFmtId="21" fontId="0" fillId="5" borderId="0" xfId="0" applyNumberFormat="1" applyFill="1"/>
    <xf numFmtId="166" fontId="0" fillId="2" borderId="0" xfId="0" applyNumberForma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2AB7-550F-2A4C-B441-D0EFD9C39040}">
  <dimension ref="A1:AW127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1.42578125" defaultRowHeight="12.75" x14ac:dyDescent="0.2"/>
  <cols>
    <col min="1" max="2" width="8.85546875" customWidth="1"/>
    <col min="3" max="3" width="14.28515625" customWidth="1"/>
    <col min="4" max="4" width="12.7109375" customWidth="1"/>
    <col min="5" max="5" width="8.85546875" customWidth="1"/>
    <col min="6" max="6" width="10.7109375" customWidth="1"/>
    <col min="7" max="9" width="8.85546875" customWidth="1"/>
    <col min="10" max="10" width="31" customWidth="1"/>
    <col min="11" max="12" width="8.85546875" customWidth="1"/>
    <col min="13" max="13" width="10.140625" bestFit="1" customWidth="1"/>
    <col min="14" max="15" width="8.85546875" customWidth="1"/>
    <col min="16" max="16" width="12" customWidth="1"/>
    <col min="17" max="42" width="8.85546875" customWidth="1"/>
    <col min="43" max="43" width="10.140625" bestFit="1" customWidth="1"/>
    <col min="44" max="256" width="8.85546875" customWidth="1"/>
  </cols>
  <sheetData>
    <row r="1" spans="1:49" ht="14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s="1" customFormat="1" ht="14.1" customHeight="1" x14ac:dyDescent="0.2">
      <c r="A2" s="1" t="s">
        <v>49</v>
      </c>
      <c r="B2" s="1">
        <v>1473723.5634522201</v>
      </c>
      <c r="C2" s="1">
        <v>-334920.16357991501</v>
      </c>
      <c r="D2" s="1" t="s">
        <v>50</v>
      </c>
      <c r="E2" s="1">
        <v>1539862.4160863401</v>
      </c>
      <c r="F2" s="1" t="s">
        <v>51</v>
      </c>
      <c r="G2" s="1" t="s">
        <v>52</v>
      </c>
      <c r="H2" s="1" t="s">
        <v>53</v>
      </c>
      <c r="I2" s="1" t="s">
        <v>54</v>
      </c>
      <c r="J2" s="1">
        <v>6.16</v>
      </c>
      <c r="K2" s="1">
        <v>74.88</v>
      </c>
      <c r="L2" s="1" t="s">
        <v>55</v>
      </c>
      <c r="M2" s="2">
        <v>43395</v>
      </c>
      <c r="N2" s="3">
        <v>0.55069444444444449</v>
      </c>
      <c r="O2" s="20">
        <v>0.53886574074074078</v>
      </c>
      <c r="P2" s="2">
        <v>43396</v>
      </c>
      <c r="Q2" s="1">
        <v>40</v>
      </c>
      <c r="R2" s="1" t="s">
        <v>56</v>
      </c>
      <c r="S2" s="1">
        <v>5.0999999999999996</v>
      </c>
      <c r="T2" s="1">
        <v>0.1</v>
      </c>
      <c r="U2" s="1">
        <v>20.8</v>
      </c>
      <c r="V2" s="1">
        <v>85.6</v>
      </c>
      <c r="W2" s="1">
        <v>7.68</v>
      </c>
      <c r="X2" s="1">
        <v>8.4000000000000005E-2</v>
      </c>
      <c r="Y2" s="1">
        <v>7.2</v>
      </c>
      <c r="Z2" s="1" t="s">
        <v>54</v>
      </c>
      <c r="AA2" s="1">
        <v>5.3</v>
      </c>
      <c r="AB2" s="1">
        <v>11.6</v>
      </c>
      <c r="AC2" s="1">
        <v>4.5999999999999996</v>
      </c>
      <c r="AD2" s="1">
        <v>20.2</v>
      </c>
      <c r="AE2" s="1">
        <v>61.9</v>
      </c>
      <c r="AF2" s="1">
        <v>5.6</v>
      </c>
      <c r="AG2" s="1">
        <v>8.2000000000000003E-2</v>
      </c>
      <c r="AH2" s="1">
        <v>7.22</v>
      </c>
      <c r="AI2" s="1" t="s">
        <v>54</v>
      </c>
      <c r="AJ2" s="1">
        <v>9.6</v>
      </c>
      <c r="AK2" s="1">
        <v>9.8000000000000007</v>
      </c>
      <c r="AM2" s="11" t="s">
        <v>153</v>
      </c>
      <c r="AN2" s="11">
        <v>115</v>
      </c>
      <c r="AO2" s="11">
        <v>25</v>
      </c>
      <c r="AP2" s="11" t="s">
        <v>54</v>
      </c>
      <c r="AQ2" s="2">
        <v>43396</v>
      </c>
      <c r="AR2" s="3">
        <v>0.53263888888888888</v>
      </c>
      <c r="AS2" s="1">
        <v>1</v>
      </c>
      <c r="AT2" s="1" t="s">
        <v>54</v>
      </c>
      <c r="AU2" s="1" t="s">
        <v>54</v>
      </c>
      <c r="AV2" s="1">
        <v>36.002119999999998</v>
      </c>
      <c r="AW2" s="1">
        <v>78.634477000000004</v>
      </c>
    </row>
    <row r="3" spans="1:49" s="1" customFormat="1" ht="14.1" customHeight="1" x14ac:dyDescent="0.2">
      <c r="A3" s="1" t="s">
        <v>57</v>
      </c>
      <c r="B3" s="1">
        <v>1478072.3967247601</v>
      </c>
      <c r="C3" s="1">
        <v>-337204.35121270397</v>
      </c>
      <c r="D3" s="1" t="s">
        <v>58</v>
      </c>
      <c r="E3" s="1">
        <v>1714544.6322379201</v>
      </c>
      <c r="F3" s="1" t="s">
        <v>51</v>
      </c>
      <c r="G3" s="1" t="s">
        <v>52</v>
      </c>
      <c r="H3" s="1" t="s">
        <v>53</v>
      </c>
      <c r="I3" s="1" t="s">
        <v>54</v>
      </c>
      <c r="J3" s="1">
        <v>6.86</v>
      </c>
      <c r="K3" s="1">
        <v>68.05</v>
      </c>
      <c r="L3" s="1" t="s">
        <v>55</v>
      </c>
      <c r="M3" s="2">
        <v>43395</v>
      </c>
      <c r="N3" s="3">
        <v>0.58680555555555558</v>
      </c>
      <c r="O3" s="20">
        <v>0.59179398148148155</v>
      </c>
      <c r="P3" s="2">
        <v>43396</v>
      </c>
      <c r="Q3" s="1">
        <v>40</v>
      </c>
      <c r="R3" s="1" t="s">
        <v>56</v>
      </c>
      <c r="S3" s="1">
        <v>3.7</v>
      </c>
      <c r="T3" s="1">
        <v>0.1</v>
      </c>
      <c r="U3" s="1">
        <v>21.1</v>
      </c>
      <c r="V3" s="1">
        <v>99.6</v>
      </c>
      <c r="W3" s="1">
        <v>8.85</v>
      </c>
      <c r="X3" s="1">
        <v>9.1999999999999998E-2</v>
      </c>
      <c r="Y3" s="1">
        <v>7.3</v>
      </c>
      <c r="Z3" s="1" t="s">
        <v>54</v>
      </c>
      <c r="AA3" s="1">
        <v>5.6</v>
      </c>
      <c r="AB3" s="1">
        <v>8.6999999999999993</v>
      </c>
      <c r="AC3" s="1">
        <v>3.2</v>
      </c>
      <c r="AD3" s="1">
        <v>19.3</v>
      </c>
      <c r="AE3" s="1">
        <v>95.8</v>
      </c>
      <c r="AF3" s="1">
        <v>8.6</v>
      </c>
      <c r="AG3" s="1">
        <v>9.2999999999999999E-2</v>
      </c>
      <c r="AH3" s="1">
        <v>7.11</v>
      </c>
      <c r="AI3" s="1" t="s">
        <v>54</v>
      </c>
      <c r="AJ3" s="1">
        <v>6.5</v>
      </c>
      <c r="AK3" s="1">
        <v>8.5</v>
      </c>
      <c r="AL3" s="11" t="s">
        <v>154</v>
      </c>
      <c r="AM3" s="11" t="s">
        <v>152</v>
      </c>
      <c r="AN3" s="11">
        <v>115</v>
      </c>
      <c r="AO3" s="11">
        <v>25</v>
      </c>
      <c r="AP3" s="11" t="s">
        <v>54</v>
      </c>
      <c r="AQ3" s="2">
        <v>43396</v>
      </c>
      <c r="AR3" s="3">
        <v>0.58333333333333337</v>
      </c>
      <c r="AS3" s="1">
        <v>13</v>
      </c>
      <c r="AT3" s="1" t="s">
        <v>54</v>
      </c>
      <c r="AU3" s="1" t="s">
        <v>54</v>
      </c>
      <c r="AV3" s="1">
        <v>35.976379999999999</v>
      </c>
      <c r="AW3" s="1">
        <v>78.588947000000005</v>
      </c>
    </row>
    <row r="4" spans="1:49" s="1" customFormat="1" ht="14.1" customHeight="1" x14ac:dyDescent="0.2">
      <c r="A4" s="1" t="s">
        <v>59</v>
      </c>
      <c r="B4" s="1">
        <v>1464387.0676538299</v>
      </c>
      <c r="C4" s="1">
        <v>-332897.97117518802</v>
      </c>
      <c r="D4" s="1" t="s">
        <v>60</v>
      </c>
      <c r="E4" s="1">
        <v>2431945.9785411698</v>
      </c>
      <c r="F4" s="1" t="s">
        <v>51</v>
      </c>
      <c r="G4" s="1" t="s">
        <v>52</v>
      </c>
      <c r="H4" s="1" t="s">
        <v>53</v>
      </c>
      <c r="I4" s="1" t="s">
        <v>54</v>
      </c>
      <c r="J4" s="1">
        <v>9.73</v>
      </c>
      <c r="K4" s="1">
        <v>34.1</v>
      </c>
      <c r="L4" s="1" t="s">
        <v>55</v>
      </c>
      <c r="M4" s="2">
        <v>43395</v>
      </c>
      <c r="N4" s="3">
        <v>0.49027777777777781</v>
      </c>
      <c r="O4" s="20">
        <v>0.48932870370370374</v>
      </c>
      <c r="P4" s="2">
        <v>43396</v>
      </c>
      <c r="Q4" s="1">
        <v>40</v>
      </c>
      <c r="R4" s="1" t="s">
        <v>56</v>
      </c>
      <c r="S4" s="1">
        <v>1.5</v>
      </c>
      <c r="T4" s="1">
        <v>0.1</v>
      </c>
      <c r="U4" s="1">
        <v>18.399999999999999</v>
      </c>
      <c r="V4" s="1">
        <v>109</v>
      </c>
      <c r="W4" s="1">
        <v>10.25</v>
      </c>
      <c r="X4" s="1">
        <v>8.1000000000000003E-2</v>
      </c>
      <c r="Y4" s="1">
        <v>7.5</v>
      </c>
      <c r="Z4" s="1" t="s">
        <v>54</v>
      </c>
      <c r="AA4" s="1">
        <v>8.9</v>
      </c>
      <c r="AB4" s="1">
        <v>19.399999999999999</v>
      </c>
      <c r="AC4" s="1">
        <v>1</v>
      </c>
      <c r="AD4" s="1">
        <v>17.3</v>
      </c>
      <c r="AE4" s="1">
        <v>99.4</v>
      </c>
      <c r="AF4" s="1">
        <v>9.6</v>
      </c>
      <c r="AG4" s="1">
        <v>8.1000000000000003E-2</v>
      </c>
      <c r="AH4" s="1">
        <v>7.51</v>
      </c>
      <c r="AI4" s="1" t="s">
        <v>54</v>
      </c>
      <c r="AJ4" s="1">
        <v>11</v>
      </c>
      <c r="AK4" s="1">
        <v>22</v>
      </c>
      <c r="AM4" s="11" t="s">
        <v>61</v>
      </c>
      <c r="AN4" s="11">
        <v>115</v>
      </c>
      <c r="AO4" s="11">
        <v>25</v>
      </c>
      <c r="AP4" s="11" t="s">
        <v>54</v>
      </c>
      <c r="AQ4" s="2">
        <v>43396</v>
      </c>
      <c r="AR4" s="3">
        <v>0.48888888888888887</v>
      </c>
      <c r="AS4" s="1">
        <v>0.5</v>
      </c>
      <c r="AT4" s="1" t="s">
        <v>54</v>
      </c>
      <c r="AU4" s="1" t="s">
        <v>54</v>
      </c>
      <c r="AV4" s="1">
        <v>36.032482999999999</v>
      </c>
      <c r="AW4" s="1">
        <v>78.736996000000005</v>
      </c>
    </row>
    <row r="5" spans="1:49" s="1" customFormat="1" ht="14.1" customHeight="1" x14ac:dyDescent="0.2">
      <c r="A5" s="1" t="s">
        <v>62</v>
      </c>
      <c r="B5" s="1">
        <v>1462854.58357074</v>
      </c>
      <c r="C5" s="1">
        <v>-335718.99256756902</v>
      </c>
      <c r="D5" s="1" t="s">
        <v>60</v>
      </c>
      <c r="E5" s="1">
        <v>2431945.9785411698</v>
      </c>
      <c r="F5" s="1" t="s">
        <v>51</v>
      </c>
      <c r="G5" s="1" t="s">
        <v>52</v>
      </c>
      <c r="H5" s="1" t="s">
        <v>53</v>
      </c>
      <c r="I5" s="1" t="s">
        <v>54</v>
      </c>
      <c r="J5" s="1">
        <v>9.73</v>
      </c>
      <c r="K5" s="1">
        <v>34.1</v>
      </c>
      <c r="L5" s="1" t="s">
        <v>55</v>
      </c>
      <c r="M5" s="2">
        <v>43395</v>
      </c>
      <c r="N5" s="3">
        <v>0.47569444444444442</v>
      </c>
      <c r="O5" s="20">
        <v>0.46666666666666662</v>
      </c>
      <c r="P5" s="2">
        <v>43396</v>
      </c>
      <c r="Q5" s="1">
        <v>40</v>
      </c>
      <c r="R5" s="1" t="s">
        <v>56</v>
      </c>
      <c r="S5" s="1">
        <v>1.2</v>
      </c>
      <c r="T5" s="1">
        <v>0.1</v>
      </c>
      <c r="U5" s="1">
        <v>18</v>
      </c>
      <c r="V5" s="1">
        <v>108.2</v>
      </c>
      <c r="W5" s="1">
        <v>10.24</v>
      </c>
      <c r="X5" s="1">
        <v>8.2000000000000003E-2</v>
      </c>
      <c r="Y5" s="1">
        <v>7.42</v>
      </c>
      <c r="Z5" s="1" t="s">
        <v>54</v>
      </c>
      <c r="AA5" s="1">
        <v>10.5</v>
      </c>
      <c r="AB5" s="1">
        <v>18.399999999999999</v>
      </c>
      <c r="AC5" s="11">
        <v>0.7</v>
      </c>
      <c r="AD5" s="11">
        <v>17.7</v>
      </c>
      <c r="AE5" s="11">
        <v>104.7</v>
      </c>
      <c r="AF5" s="11">
        <v>9.98</v>
      </c>
      <c r="AG5" s="11">
        <v>0.08</v>
      </c>
      <c r="AH5" s="1">
        <v>7.47</v>
      </c>
      <c r="AI5" s="1" t="s">
        <v>54</v>
      </c>
      <c r="AJ5" s="1">
        <v>13.8</v>
      </c>
      <c r="AK5" s="1">
        <v>22.5</v>
      </c>
      <c r="AM5" s="11" t="s">
        <v>151</v>
      </c>
      <c r="AN5" s="11">
        <v>115</v>
      </c>
      <c r="AO5" s="11">
        <v>25</v>
      </c>
      <c r="AP5" s="11" t="s">
        <v>54</v>
      </c>
      <c r="AQ5" s="2">
        <v>43396</v>
      </c>
      <c r="AR5" s="3">
        <v>0.4604166666666667</v>
      </c>
      <c r="AS5" s="1">
        <v>0.5</v>
      </c>
      <c r="AT5" s="1" t="s">
        <v>54</v>
      </c>
      <c r="AU5" s="1" t="s">
        <v>54</v>
      </c>
      <c r="AV5" s="1">
        <v>36.012138</v>
      </c>
      <c r="AW5" s="1">
        <v>78.761055999999996</v>
      </c>
    </row>
    <row r="6" spans="1:49" s="1" customFormat="1" ht="14.1" customHeight="1" x14ac:dyDescent="0.2">
      <c r="A6" s="1" t="s">
        <v>63</v>
      </c>
      <c r="B6" s="1">
        <v>1475475.3988174601</v>
      </c>
      <c r="C6" s="1">
        <v>-338391.54240757501</v>
      </c>
      <c r="D6" s="1" t="s">
        <v>58</v>
      </c>
      <c r="E6" s="1">
        <v>1714544.6322379201</v>
      </c>
      <c r="F6" s="1" t="s">
        <v>51</v>
      </c>
      <c r="G6" s="1" t="s">
        <v>52</v>
      </c>
      <c r="H6" s="1" t="s">
        <v>53</v>
      </c>
      <c r="I6" s="1" t="s">
        <v>54</v>
      </c>
      <c r="J6" s="1">
        <v>6.86</v>
      </c>
      <c r="K6" s="1">
        <v>68.05</v>
      </c>
      <c r="L6" s="1" t="s">
        <v>55</v>
      </c>
      <c r="M6" s="2">
        <v>43395</v>
      </c>
      <c r="N6" s="3">
        <v>0.57777777777777783</v>
      </c>
      <c r="O6" s="20">
        <v>0.58124999999999993</v>
      </c>
      <c r="P6" s="2">
        <v>43396</v>
      </c>
      <c r="Q6" s="1">
        <v>40</v>
      </c>
      <c r="R6" s="1" t="s">
        <v>56</v>
      </c>
      <c r="S6" s="1">
        <v>4.5999999999999996</v>
      </c>
      <c r="T6" s="1">
        <v>0.1</v>
      </c>
      <c r="U6" s="1">
        <v>21.2</v>
      </c>
      <c r="V6" s="1">
        <v>80.900000000000006</v>
      </c>
      <c r="W6" s="1">
        <v>7.18</v>
      </c>
      <c r="X6" s="1">
        <v>8.3000000000000004E-2</v>
      </c>
      <c r="Y6" s="1">
        <v>7.29</v>
      </c>
      <c r="Z6" s="1" t="s">
        <v>54</v>
      </c>
      <c r="AA6" s="1">
        <v>6.5</v>
      </c>
      <c r="AB6" s="1">
        <v>12</v>
      </c>
      <c r="AC6" s="1">
        <v>4.0999999999999996</v>
      </c>
      <c r="AD6" s="1">
        <v>20.6</v>
      </c>
      <c r="AE6" s="1">
        <v>59.3</v>
      </c>
      <c r="AF6" s="1">
        <v>5.35</v>
      </c>
      <c r="AG6" s="1">
        <v>8.3000000000000004E-2</v>
      </c>
      <c r="AH6" s="1">
        <v>7.26</v>
      </c>
      <c r="AI6" s="1" t="s">
        <v>54</v>
      </c>
      <c r="AJ6" s="1">
        <v>8</v>
      </c>
      <c r="AK6" s="1">
        <v>8.6</v>
      </c>
      <c r="AM6" s="11" t="s">
        <v>150</v>
      </c>
      <c r="AN6" s="11">
        <v>115</v>
      </c>
      <c r="AO6" s="11">
        <v>25</v>
      </c>
      <c r="AP6" s="11" t="s">
        <v>54</v>
      </c>
      <c r="AQ6" s="2">
        <v>43396</v>
      </c>
      <c r="AR6" s="3">
        <v>0.57430555555555551</v>
      </c>
      <c r="AS6" s="1">
        <v>0.5</v>
      </c>
      <c r="AT6" s="1" t="s">
        <v>54</v>
      </c>
      <c r="AU6" s="1" t="s">
        <v>54</v>
      </c>
      <c r="AV6" s="1">
        <v>35.970052000000003</v>
      </c>
      <c r="AW6" s="1">
        <v>78.621270999999993</v>
      </c>
    </row>
    <row r="7" spans="1:49" ht="14.1" customHeight="1" x14ac:dyDescent="0.2">
      <c r="A7" t="s">
        <v>64</v>
      </c>
      <c r="B7">
        <v>1477918.11011576</v>
      </c>
      <c r="C7">
        <v>-336606.27869524597</v>
      </c>
      <c r="D7" t="s">
        <v>58</v>
      </c>
      <c r="E7">
        <v>1714544.6322379201</v>
      </c>
      <c r="F7" t="s">
        <v>51</v>
      </c>
      <c r="G7" t="s">
        <v>52</v>
      </c>
      <c r="H7" s="11" t="s">
        <v>163</v>
      </c>
      <c r="I7" t="s">
        <v>54</v>
      </c>
      <c r="J7">
        <v>6.86</v>
      </c>
      <c r="K7">
        <v>68.05</v>
      </c>
      <c r="L7" t="s">
        <v>55</v>
      </c>
      <c r="O7" s="21"/>
    </row>
    <row r="8" spans="1:49" s="1" customFormat="1" ht="14.1" customHeight="1" x14ac:dyDescent="0.2">
      <c r="A8" s="1" t="s">
        <v>65</v>
      </c>
      <c r="B8" s="1">
        <v>1470832.2921865899</v>
      </c>
      <c r="C8" s="1">
        <v>-335045.69332328701</v>
      </c>
      <c r="D8" s="1" t="s">
        <v>50</v>
      </c>
      <c r="E8" s="1">
        <v>1539862.4160863401</v>
      </c>
      <c r="F8" s="1" t="s">
        <v>51</v>
      </c>
      <c r="G8" s="1" t="s">
        <v>52</v>
      </c>
      <c r="H8" s="1" t="s">
        <v>53</v>
      </c>
      <c r="I8" s="1" t="s">
        <v>54</v>
      </c>
      <c r="J8" s="1">
        <v>6.16</v>
      </c>
      <c r="K8" s="1">
        <v>74.88</v>
      </c>
      <c r="L8" s="1" t="s">
        <v>55</v>
      </c>
      <c r="M8" s="2">
        <v>43395</v>
      </c>
      <c r="N8" s="3">
        <v>0.53333333333333333</v>
      </c>
      <c r="O8" s="20">
        <v>0.5288194444444444</v>
      </c>
      <c r="P8" s="2">
        <v>43396</v>
      </c>
      <c r="Q8" s="1">
        <v>40</v>
      </c>
      <c r="R8" s="1" t="s">
        <v>66</v>
      </c>
      <c r="S8" s="1">
        <v>7.8</v>
      </c>
      <c r="T8" s="1">
        <v>0.1</v>
      </c>
      <c r="U8" s="1">
        <v>20.2</v>
      </c>
      <c r="V8" s="1">
        <v>97.1</v>
      </c>
      <c r="W8" s="1">
        <v>8.86</v>
      </c>
      <c r="X8" s="1">
        <v>8.2000000000000003E-2</v>
      </c>
      <c r="Y8" s="1">
        <v>7.37</v>
      </c>
      <c r="Z8" s="1" t="s">
        <v>54</v>
      </c>
      <c r="AA8" s="1">
        <v>7.3</v>
      </c>
      <c r="AB8" s="1">
        <v>14.5</v>
      </c>
      <c r="AC8" s="1">
        <v>7.3</v>
      </c>
      <c r="AD8" s="1">
        <v>18.7</v>
      </c>
      <c r="AE8" s="1">
        <v>68.900000000000006</v>
      </c>
      <c r="AF8" s="1">
        <v>6.43</v>
      </c>
      <c r="AG8" s="1">
        <v>8.2000000000000003E-2</v>
      </c>
      <c r="AH8" s="1">
        <v>7.34</v>
      </c>
      <c r="AI8" s="1" t="s">
        <v>54</v>
      </c>
      <c r="AJ8" s="1">
        <v>32.4</v>
      </c>
      <c r="AK8" s="1">
        <v>16.8</v>
      </c>
      <c r="AM8" s="11" t="s">
        <v>149</v>
      </c>
      <c r="AN8" s="11">
        <v>115</v>
      </c>
      <c r="AO8" s="11">
        <v>25</v>
      </c>
      <c r="AP8" s="11" t="s">
        <v>54</v>
      </c>
      <c r="AQ8" s="2">
        <v>43396</v>
      </c>
      <c r="AR8" s="3">
        <v>0.52222222222222225</v>
      </c>
      <c r="AS8" s="1">
        <f>25+7</f>
        <v>32</v>
      </c>
      <c r="AT8" s="1" t="s">
        <v>67</v>
      </c>
      <c r="AV8" s="1">
        <v>36.005468</v>
      </c>
      <c r="AW8" s="1">
        <v>78.667906000000002</v>
      </c>
    </row>
    <row r="9" spans="1:49" s="1" customFormat="1" ht="14.1" customHeight="1" x14ac:dyDescent="0.2">
      <c r="A9" s="1" t="s">
        <v>68</v>
      </c>
      <c r="B9" s="1">
        <v>1463782.2359781801</v>
      </c>
      <c r="C9" s="1">
        <v>-334735.986739307</v>
      </c>
      <c r="D9" s="1" t="s">
        <v>60</v>
      </c>
      <c r="E9" s="1">
        <v>2431945.9785411698</v>
      </c>
      <c r="F9" s="1" t="s">
        <v>51</v>
      </c>
      <c r="G9" s="1" t="s">
        <v>52</v>
      </c>
      <c r="H9" s="1" t="s">
        <v>53</v>
      </c>
      <c r="I9" s="1" t="s">
        <v>54</v>
      </c>
      <c r="J9" s="1">
        <v>9.73</v>
      </c>
      <c r="K9" s="1">
        <v>34.1</v>
      </c>
      <c r="L9" s="1" t="s">
        <v>55</v>
      </c>
      <c r="M9" s="2">
        <v>43395</v>
      </c>
      <c r="N9" s="3">
        <v>0.48402777777777778</v>
      </c>
      <c r="O9" s="20">
        <v>0.48182870370370368</v>
      </c>
      <c r="P9" s="2">
        <v>43396</v>
      </c>
      <c r="Q9" s="1">
        <v>40</v>
      </c>
      <c r="R9" s="1" t="s">
        <v>56</v>
      </c>
      <c r="S9" s="11">
        <v>3.9</v>
      </c>
      <c r="T9" s="1">
        <v>0.1</v>
      </c>
      <c r="U9" s="1">
        <v>18.8</v>
      </c>
      <c r="V9" s="1">
        <v>109</v>
      </c>
      <c r="W9" s="1">
        <v>10.17</v>
      </c>
      <c r="X9" s="1">
        <v>8.2000000000000003E-2</v>
      </c>
      <c r="Y9" s="1">
        <v>7.55</v>
      </c>
      <c r="Z9" s="1" t="s">
        <v>54</v>
      </c>
      <c r="AA9" s="1">
        <v>8.4</v>
      </c>
      <c r="AB9" s="1">
        <v>16.2</v>
      </c>
      <c r="AC9" s="1" t="s">
        <v>54</v>
      </c>
      <c r="AD9" s="1" t="s">
        <v>54</v>
      </c>
      <c r="AE9" s="1" t="s">
        <v>54</v>
      </c>
      <c r="AF9" s="1" t="s">
        <v>54</v>
      </c>
      <c r="AG9" s="1" t="s">
        <v>54</v>
      </c>
      <c r="AH9" s="1" t="s">
        <v>54</v>
      </c>
      <c r="AI9" s="1" t="s">
        <v>54</v>
      </c>
      <c r="AJ9" s="1" t="s">
        <v>54</v>
      </c>
      <c r="AK9" s="1" t="s">
        <v>54</v>
      </c>
      <c r="AL9" s="1" t="s">
        <v>54</v>
      </c>
      <c r="AM9" s="1" t="s">
        <v>54</v>
      </c>
      <c r="AN9" s="1" t="s">
        <v>54</v>
      </c>
      <c r="AO9" s="1" t="s">
        <v>54</v>
      </c>
      <c r="AP9" s="1" t="s">
        <v>54</v>
      </c>
      <c r="AQ9" s="2">
        <v>43396</v>
      </c>
      <c r="AR9" s="3">
        <v>0.47430555555555554</v>
      </c>
      <c r="AS9" s="1">
        <v>23.5</v>
      </c>
      <c r="AT9" s="1" t="s">
        <v>69</v>
      </c>
      <c r="AV9" s="1">
        <v>36.019039999999997</v>
      </c>
      <c r="AW9" s="11">
        <v>78.748576</v>
      </c>
    </row>
    <row r="10" spans="1:49" ht="14.1" customHeight="1" x14ac:dyDescent="0.2">
      <c r="A10" t="s">
        <v>70</v>
      </c>
      <c r="B10">
        <v>1471191.0327598799</v>
      </c>
      <c r="C10">
        <v>-335666.82881650003</v>
      </c>
      <c r="D10" t="s">
        <v>50</v>
      </c>
      <c r="E10">
        <v>1539862.4160863401</v>
      </c>
      <c r="F10" t="s">
        <v>51</v>
      </c>
      <c r="G10" t="s">
        <v>52</v>
      </c>
      <c r="H10" s="11" t="s">
        <v>163</v>
      </c>
      <c r="I10" t="s">
        <v>54</v>
      </c>
      <c r="J10">
        <v>6.16</v>
      </c>
      <c r="K10">
        <v>74.88</v>
      </c>
      <c r="L10" t="s">
        <v>55</v>
      </c>
      <c r="O10" s="21"/>
    </row>
    <row r="11" spans="1:49" s="1" customFormat="1" ht="14.1" customHeight="1" x14ac:dyDescent="0.2">
      <c r="A11" s="1" t="s">
        <v>71</v>
      </c>
      <c r="B11" s="1">
        <v>1462680.4677613</v>
      </c>
      <c r="C11" s="1">
        <v>-332462.20717664203</v>
      </c>
      <c r="D11" s="1" t="s">
        <v>60</v>
      </c>
      <c r="E11" s="1">
        <v>2431945.9785411698</v>
      </c>
      <c r="F11" s="1" t="s">
        <v>51</v>
      </c>
      <c r="G11" s="1" t="s">
        <v>52</v>
      </c>
      <c r="H11" s="1" t="s">
        <v>53</v>
      </c>
      <c r="I11" s="1" t="s">
        <v>54</v>
      </c>
      <c r="J11" s="1">
        <v>9.73</v>
      </c>
      <c r="K11" s="1">
        <v>34.1</v>
      </c>
      <c r="L11" s="1" t="s">
        <v>55</v>
      </c>
      <c r="M11" s="2">
        <v>43395</v>
      </c>
      <c r="N11" s="3">
        <v>0.46736111111111112</v>
      </c>
      <c r="O11" s="20">
        <v>0.45839120370370368</v>
      </c>
      <c r="P11" s="2">
        <v>43396</v>
      </c>
      <c r="Q11" s="1">
        <v>40</v>
      </c>
      <c r="R11" s="1" t="s">
        <v>56</v>
      </c>
      <c r="S11" s="1">
        <v>1.4</v>
      </c>
      <c r="T11" s="1">
        <v>0.1</v>
      </c>
      <c r="U11" s="1">
        <v>18.2</v>
      </c>
      <c r="V11" s="1">
        <v>101.5</v>
      </c>
      <c r="W11" s="1">
        <v>9.57</v>
      </c>
      <c r="X11" s="1">
        <v>8.2000000000000003E-2</v>
      </c>
      <c r="Y11" s="1">
        <v>7.47</v>
      </c>
      <c r="Z11" s="1" t="s">
        <v>54</v>
      </c>
      <c r="AA11" s="1">
        <v>11.5</v>
      </c>
      <c r="AB11" s="1">
        <v>21.6</v>
      </c>
      <c r="AC11" s="1" t="s">
        <v>54</v>
      </c>
      <c r="AD11" s="1" t="s">
        <v>54</v>
      </c>
      <c r="AE11" s="1" t="s">
        <v>54</v>
      </c>
      <c r="AF11" s="1" t="s">
        <v>54</v>
      </c>
      <c r="AG11" s="1" t="s">
        <v>54</v>
      </c>
      <c r="AH11" s="1" t="s">
        <v>54</v>
      </c>
      <c r="AI11" s="1" t="s">
        <v>54</v>
      </c>
      <c r="AJ11" s="1" t="s">
        <v>54</v>
      </c>
      <c r="AK11" s="1" t="s">
        <v>54</v>
      </c>
      <c r="AL11" s="1" t="s">
        <v>54</v>
      </c>
      <c r="AM11" s="1" t="s">
        <v>54</v>
      </c>
      <c r="AN11" s="1" t="s">
        <v>54</v>
      </c>
      <c r="AO11" s="1" t="s">
        <v>54</v>
      </c>
      <c r="AP11" s="1" t="s">
        <v>54</v>
      </c>
      <c r="AQ11" s="2">
        <v>43396</v>
      </c>
      <c r="AR11" s="3">
        <v>0.4513888888888889</v>
      </c>
      <c r="AS11" s="1" t="s">
        <v>54</v>
      </c>
      <c r="AT11" s="1" t="s">
        <v>54</v>
      </c>
      <c r="AU11" s="1" t="s">
        <v>54</v>
      </c>
      <c r="AV11" s="1">
        <v>36.039748000000003</v>
      </c>
      <c r="AW11" s="1">
        <v>78.756086999999994</v>
      </c>
    </row>
    <row r="12" spans="1:49" s="1" customFormat="1" ht="14.1" customHeight="1" x14ac:dyDescent="0.2">
      <c r="A12" s="1" t="s">
        <v>72</v>
      </c>
      <c r="B12" s="1">
        <v>1466414.9252194699</v>
      </c>
      <c r="C12" s="1">
        <v>-334215.53306021</v>
      </c>
      <c r="D12" s="1" t="s">
        <v>60</v>
      </c>
      <c r="E12" s="1">
        <v>2431945.9785411698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9.73</v>
      </c>
      <c r="K12" s="1">
        <v>34.1</v>
      </c>
      <c r="L12" s="1" t="s">
        <v>55</v>
      </c>
      <c r="M12" s="2">
        <v>43395</v>
      </c>
      <c r="N12" s="3">
        <v>0.52222222222222225</v>
      </c>
      <c r="O12" s="20">
        <v>0.51722222222222225</v>
      </c>
      <c r="P12" s="2">
        <v>43396</v>
      </c>
      <c r="Q12" s="1">
        <v>40</v>
      </c>
      <c r="R12" s="1" t="s">
        <v>56</v>
      </c>
      <c r="S12" s="1">
        <v>3.6</v>
      </c>
      <c r="T12" s="1">
        <v>0.1</v>
      </c>
      <c r="U12" s="1">
        <v>19.3</v>
      </c>
      <c r="V12" s="1">
        <v>105.6</v>
      </c>
      <c r="W12" s="1">
        <v>9.7100000000000009</v>
      </c>
      <c r="X12" s="1">
        <v>0.08</v>
      </c>
      <c r="Y12" s="1">
        <v>7.49</v>
      </c>
      <c r="Z12" s="1" t="s">
        <v>54</v>
      </c>
      <c r="AA12" s="1">
        <v>6.6</v>
      </c>
      <c r="AB12" s="1">
        <v>16.3</v>
      </c>
      <c r="AC12" s="1" t="s">
        <v>54</v>
      </c>
      <c r="AD12" s="1" t="s">
        <v>54</v>
      </c>
      <c r="AE12" s="1" t="s">
        <v>54</v>
      </c>
      <c r="AF12" s="1" t="s">
        <v>54</v>
      </c>
      <c r="AG12" s="1" t="s">
        <v>54</v>
      </c>
      <c r="AH12" s="1" t="s">
        <v>54</v>
      </c>
      <c r="AI12" s="1" t="s">
        <v>54</v>
      </c>
      <c r="AJ12" s="1" t="s">
        <v>54</v>
      </c>
      <c r="AK12" s="1" t="s">
        <v>54</v>
      </c>
      <c r="AL12" s="1" t="s">
        <v>54</v>
      </c>
      <c r="AM12" s="1" t="s">
        <v>54</v>
      </c>
      <c r="AN12" s="1" t="s">
        <v>54</v>
      </c>
      <c r="AO12" s="1" t="s">
        <v>54</v>
      </c>
      <c r="AP12" s="1" t="s">
        <v>54</v>
      </c>
      <c r="AQ12" s="2">
        <v>43396</v>
      </c>
      <c r="AR12" s="3">
        <v>0.51041666666666663</v>
      </c>
      <c r="AS12" s="1">
        <v>0.5</v>
      </c>
      <c r="AT12" s="1" t="s">
        <v>54</v>
      </c>
      <c r="AU12" s="1" t="s">
        <v>54</v>
      </c>
      <c r="AV12" s="1">
        <v>36.019297000000002</v>
      </c>
      <c r="AW12" s="1">
        <v>78.717118999999997</v>
      </c>
    </row>
    <row r="13" spans="1:49" s="1" customFormat="1" ht="14.1" customHeight="1" x14ac:dyDescent="0.2">
      <c r="A13" s="1" t="s">
        <v>73</v>
      </c>
      <c r="B13" s="1">
        <v>1474509.59706117</v>
      </c>
      <c r="C13" s="1">
        <v>-339143.283510532</v>
      </c>
      <c r="D13" s="1" t="s">
        <v>58</v>
      </c>
      <c r="E13" s="1">
        <v>1714544.6322379201</v>
      </c>
      <c r="F13" s="1" t="s">
        <v>51</v>
      </c>
      <c r="G13" s="1" t="s">
        <v>52</v>
      </c>
      <c r="H13" s="1" t="s">
        <v>53</v>
      </c>
      <c r="I13" s="1" t="s">
        <v>54</v>
      </c>
      <c r="J13" s="1">
        <v>6.86</v>
      </c>
      <c r="K13" s="1">
        <v>68.05</v>
      </c>
      <c r="L13" s="1" t="s">
        <v>55</v>
      </c>
      <c r="M13" s="2">
        <v>43395</v>
      </c>
      <c r="N13" s="3">
        <v>0.57291666666666663</v>
      </c>
      <c r="O13" s="20">
        <v>0.57265046296296296</v>
      </c>
      <c r="P13" s="2">
        <v>43396</v>
      </c>
      <c r="Q13" s="1">
        <v>40</v>
      </c>
      <c r="R13" s="1" t="s">
        <v>56</v>
      </c>
      <c r="S13" s="1">
        <v>4.5</v>
      </c>
      <c r="T13" s="1">
        <v>0.1</v>
      </c>
      <c r="U13" s="1">
        <v>21.6</v>
      </c>
      <c r="V13" s="1">
        <v>90.4</v>
      </c>
      <c r="W13" s="1">
        <v>7.98</v>
      </c>
      <c r="X13" s="1">
        <v>8.5000000000000006E-2</v>
      </c>
      <c r="Y13" s="1">
        <v>7.18</v>
      </c>
      <c r="Z13" s="1" t="s">
        <v>54</v>
      </c>
      <c r="AA13" s="1">
        <v>4.2</v>
      </c>
      <c r="AB13" s="1">
        <v>11</v>
      </c>
      <c r="AC13" s="1" t="s">
        <v>54</v>
      </c>
      <c r="AD13" s="1" t="s">
        <v>54</v>
      </c>
      <c r="AE13" s="1" t="s">
        <v>54</v>
      </c>
      <c r="AF13" s="1" t="s">
        <v>54</v>
      </c>
      <c r="AG13" s="1" t="s">
        <v>54</v>
      </c>
      <c r="AH13" s="1" t="s">
        <v>54</v>
      </c>
      <c r="AI13" s="1" t="s">
        <v>54</v>
      </c>
      <c r="AJ13" s="1" t="s">
        <v>54</v>
      </c>
      <c r="AK13" s="1" t="s">
        <v>54</v>
      </c>
      <c r="AL13" s="1" t="s">
        <v>54</v>
      </c>
      <c r="AM13" s="1" t="s">
        <v>54</v>
      </c>
      <c r="AN13" s="1" t="s">
        <v>54</v>
      </c>
      <c r="AO13" s="1" t="s">
        <v>54</v>
      </c>
      <c r="AP13" s="1" t="s">
        <v>54</v>
      </c>
      <c r="AQ13" s="2">
        <v>43396</v>
      </c>
      <c r="AR13" s="3">
        <v>0.56805555555555554</v>
      </c>
      <c r="AS13" s="1">
        <f>25+1</f>
        <v>26</v>
      </c>
      <c r="AT13" s="1" t="s">
        <v>74</v>
      </c>
      <c r="AV13" s="11">
        <v>35.96557</v>
      </c>
      <c r="AW13" s="1">
        <v>78.633921999999998</v>
      </c>
    </row>
    <row r="14" spans="1:49" s="1" customFormat="1" ht="14.1" customHeight="1" x14ac:dyDescent="0.2">
      <c r="A14" s="1" t="s">
        <v>75</v>
      </c>
      <c r="B14" s="1">
        <v>1472663.7434799201</v>
      </c>
      <c r="C14" s="1">
        <v>-334935.09844277601</v>
      </c>
      <c r="D14" s="1" t="s">
        <v>50</v>
      </c>
      <c r="E14" s="1">
        <v>1539862.4160863401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6.16</v>
      </c>
      <c r="K14" s="1">
        <v>74.88</v>
      </c>
      <c r="L14" s="1" t="s">
        <v>55</v>
      </c>
      <c r="M14" s="2">
        <v>43395</v>
      </c>
      <c r="N14" s="3">
        <v>0.5625</v>
      </c>
      <c r="O14" s="20">
        <v>0.55960648148148151</v>
      </c>
      <c r="P14" s="2">
        <v>43396</v>
      </c>
      <c r="Q14" s="1">
        <v>40</v>
      </c>
      <c r="R14" s="1" t="s">
        <v>56</v>
      </c>
      <c r="S14" s="1">
        <v>4</v>
      </c>
      <c r="T14" s="1">
        <v>0.1</v>
      </c>
      <c r="U14" s="1">
        <v>21</v>
      </c>
      <c r="V14" s="1">
        <v>90.2</v>
      </c>
      <c r="W14" s="1">
        <v>8.0299999999999994</v>
      </c>
      <c r="X14" s="1">
        <v>8.2000000000000003E-2</v>
      </c>
      <c r="Y14" s="1">
        <v>7.29</v>
      </c>
      <c r="Z14" s="1" t="s">
        <v>54</v>
      </c>
      <c r="AA14" s="1">
        <v>5.9</v>
      </c>
      <c r="AB14" s="1">
        <v>13.5</v>
      </c>
      <c r="AC14" s="1" t="s">
        <v>54</v>
      </c>
      <c r="AD14" s="1" t="s">
        <v>54</v>
      </c>
      <c r="AE14" s="1" t="s">
        <v>54</v>
      </c>
      <c r="AF14" s="1" t="s">
        <v>54</v>
      </c>
      <c r="AG14" s="1" t="s">
        <v>54</v>
      </c>
      <c r="AH14" s="1" t="s">
        <v>54</v>
      </c>
      <c r="AI14" s="1" t="s">
        <v>54</v>
      </c>
      <c r="AJ14" s="1" t="s">
        <v>54</v>
      </c>
      <c r="AK14" s="1" t="s">
        <v>54</v>
      </c>
      <c r="AL14" s="1" t="s">
        <v>54</v>
      </c>
      <c r="AM14" s="1" t="s">
        <v>54</v>
      </c>
      <c r="AN14" s="1" t="s">
        <v>54</v>
      </c>
      <c r="AO14" s="1" t="s">
        <v>54</v>
      </c>
      <c r="AP14" s="1" t="s">
        <v>54</v>
      </c>
      <c r="AQ14" s="2">
        <v>43396</v>
      </c>
      <c r="AR14" s="3">
        <v>0.55277777777777781</v>
      </c>
      <c r="AS14" s="1">
        <v>0.5</v>
      </c>
      <c r="AT14" s="1" t="s">
        <v>54</v>
      </c>
      <c r="AU14" s="1" t="s">
        <v>54</v>
      </c>
      <c r="AV14" s="1">
        <v>36.003616999999998</v>
      </c>
      <c r="AW14" s="1">
        <v>78.646281999999999</v>
      </c>
    </row>
    <row r="15" spans="1:49" s="1" customFormat="1" ht="14.1" customHeight="1" x14ac:dyDescent="0.2">
      <c r="A15" s="1" t="s">
        <v>76</v>
      </c>
      <c r="B15" s="1">
        <v>1465540.00673415</v>
      </c>
      <c r="C15" s="1">
        <v>-329572.61813189602</v>
      </c>
      <c r="D15" s="1" t="s">
        <v>77</v>
      </c>
      <c r="E15" s="1">
        <v>2375053.6585566499</v>
      </c>
      <c r="F15" s="1" t="s">
        <v>51</v>
      </c>
      <c r="G15" s="1" t="s">
        <v>52</v>
      </c>
      <c r="H15" s="1" t="s">
        <v>53</v>
      </c>
      <c r="I15" s="1" t="s">
        <v>54</v>
      </c>
      <c r="J15" s="1">
        <v>9.5</v>
      </c>
      <c r="K15" s="1">
        <v>47.15</v>
      </c>
      <c r="L15" s="1" t="s">
        <v>55</v>
      </c>
      <c r="M15" s="2">
        <v>43395</v>
      </c>
      <c r="N15" s="3">
        <v>0.50416666666666665</v>
      </c>
      <c r="O15" s="20">
        <v>0.50116898148148148</v>
      </c>
      <c r="P15" s="2">
        <v>43396</v>
      </c>
      <c r="Q15" s="1">
        <v>40</v>
      </c>
      <c r="R15" s="1" t="s">
        <v>56</v>
      </c>
      <c r="S15" s="1">
        <v>1.6</v>
      </c>
      <c r="T15" s="1">
        <v>0.1</v>
      </c>
      <c r="U15" s="1">
        <v>18.5</v>
      </c>
      <c r="V15" s="1">
        <v>104.4</v>
      </c>
      <c r="W15" s="1">
        <v>9.84</v>
      </c>
      <c r="X15" s="1">
        <v>7.5999999999999998E-2</v>
      </c>
      <c r="Y15" s="11">
        <v>7.39</v>
      </c>
      <c r="Z15" s="1" t="s">
        <v>54</v>
      </c>
      <c r="AA15" s="1">
        <v>7.3</v>
      </c>
      <c r="AB15" s="1">
        <v>11.2</v>
      </c>
      <c r="AC15" s="1">
        <v>1</v>
      </c>
      <c r="AD15" s="1">
        <v>18</v>
      </c>
      <c r="AE15" s="1">
        <v>89.4</v>
      </c>
      <c r="AF15" s="1">
        <v>8.49</v>
      </c>
      <c r="AG15" s="1">
        <v>7.5999999999999998E-2</v>
      </c>
      <c r="AH15" s="1">
        <v>7.47</v>
      </c>
      <c r="AI15" s="1" t="s">
        <v>54</v>
      </c>
      <c r="AJ15" s="1">
        <v>14</v>
      </c>
      <c r="AK15" s="1">
        <v>14.6</v>
      </c>
      <c r="AM15" s="11" t="s">
        <v>148</v>
      </c>
      <c r="AN15" s="11">
        <v>115</v>
      </c>
      <c r="AO15" s="11">
        <v>25</v>
      </c>
      <c r="AP15" s="11" t="s">
        <v>54</v>
      </c>
      <c r="AQ15" s="2">
        <v>43396</v>
      </c>
      <c r="AR15" s="3">
        <v>0.49652777777777773</v>
      </c>
      <c r="AS15" s="1">
        <v>0.5</v>
      </c>
      <c r="AT15" s="1" t="s">
        <v>54</v>
      </c>
      <c r="AU15" s="1" t="s">
        <v>54</v>
      </c>
      <c r="AV15" s="1">
        <v>36.059522000000001</v>
      </c>
      <c r="AW15" s="1">
        <v>78.717112</v>
      </c>
    </row>
    <row r="16" spans="1:49" s="1" customFormat="1" ht="14.1" customHeight="1" x14ac:dyDescent="0.2">
      <c r="A16" s="1" t="s">
        <v>78</v>
      </c>
      <c r="B16" s="1">
        <v>1466533.7735737001</v>
      </c>
      <c r="C16" s="1">
        <v>-333774.20314539899</v>
      </c>
      <c r="D16" s="1" t="s">
        <v>77</v>
      </c>
      <c r="E16" s="1">
        <v>2375053.6585566499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9.5</v>
      </c>
      <c r="K16" s="1">
        <v>47.15</v>
      </c>
      <c r="L16" s="1" t="s">
        <v>55</v>
      </c>
      <c r="M16" s="2">
        <v>43395</v>
      </c>
      <c r="N16" s="3">
        <v>0.5131944444444444</v>
      </c>
      <c r="O16" s="20">
        <v>0.51138888888888889</v>
      </c>
      <c r="P16" s="2">
        <v>43396</v>
      </c>
      <c r="Q16" s="1">
        <v>40</v>
      </c>
      <c r="R16" s="1" t="s">
        <v>56</v>
      </c>
      <c r="S16" s="1">
        <v>4.5</v>
      </c>
      <c r="T16" s="1">
        <v>0.1</v>
      </c>
      <c r="U16" s="1">
        <v>19.5</v>
      </c>
      <c r="V16" s="1">
        <v>110.2</v>
      </c>
      <c r="W16" s="1">
        <v>10.19</v>
      </c>
      <c r="X16" s="1">
        <v>7.8E-2</v>
      </c>
      <c r="Y16" s="1">
        <v>7.46</v>
      </c>
      <c r="Z16" s="1" t="s">
        <v>54</v>
      </c>
      <c r="AA16" s="1">
        <v>6.7</v>
      </c>
      <c r="AB16" s="1">
        <v>14.9</v>
      </c>
      <c r="AC16" s="1">
        <v>4</v>
      </c>
      <c r="AD16" s="1">
        <v>18.7</v>
      </c>
      <c r="AE16" s="1">
        <v>86.5</v>
      </c>
      <c r="AF16" s="1">
        <v>8.09</v>
      </c>
      <c r="AG16" s="1">
        <v>0.08</v>
      </c>
      <c r="AH16" s="1">
        <v>7.49</v>
      </c>
      <c r="AI16" s="1" t="s">
        <v>54</v>
      </c>
      <c r="AJ16" s="1">
        <v>8.6</v>
      </c>
      <c r="AK16" s="1">
        <v>14.2</v>
      </c>
      <c r="AM16" s="11" t="s">
        <v>147</v>
      </c>
      <c r="AN16" s="11">
        <v>115</v>
      </c>
      <c r="AO16" s="11">
        <v>25</v>
      </c>
      <c r="AP16" s="11" t="s">
        <v>54</v>
      </c>
      <c r="AQ16" s="2">
        <v>43396</v>
      </c>
      <c r="AR16" s="3">
        <v>0.50486111111111109</v>
      </c>
      <c r="AS16" s="1">
        <v>1.5</v>
      </c>
      <c r="AT16" s="1" t="s">
        <v>54</v>
      </c>
      <c r="AU16" s="1" t="s">
        <v>54</v>
      </c>
      <c r="AV16" s="1">
        <v>36.022717</v>
      </c>
      <c r="AW16" s="1">
        <v>78.714644000000007</v>
      </c>
    </row>
    <row r="17" spans="1:49" s="1" customFormat="1" ht="14.1" customHeight="1" x14ac:dyDescent="0.2">
      <c r="A17" s="1" t="s">
        <v>79</v>
      </c>
      <c r="B17" s="1">
        <v>1478377.06828636</v>
      </c>
      <c r="C17" s="1">
        <v>-339448.92602312402</v>
      </c>
      <c r="D17" s="1" t="s">
        <v>58</v>
      </c>
      <c r="E17" s="1">
        <v>1714544.6322379201</v>
      </c>
      <c r="F17" s="1" t="s">
        <v>51</v>
      </c>
      <c r="G17" s="1" t="s">
        <v>52</v>
      </c>
      <c r="H17" s="1" t="s">
        <v>53</v>
      </c>
      <c r="I17" s="1" t="s">
        <v>54</v>
      </c>
      <c r="J17" s="1">
        <v>6.86</v>
      </c>
      <c r="K17" s="1">
        <v>68.05</v>
      </c>
      <c r="L17" s="1" t="s">
        <v>55</v>
      </c>
      <c r="M17" s="2">
        <v>43395</v>
      </c>
      <c r="N17" s="3">
        <v>0.59722222222222221</v>
      </c>
      <c r="O17" s="20">
        <v>0.60148148148148151</v>
      </c>
      <c r="P17" s="2">
        <v>43396</v>
      </c>
      <c r="Q17" s="1">
        <v>40</v>
      </c>
      <c r="R17" s="1" t="s">
        <v>56</v>
      </c>
      <c r="S17" s="1">
        <v>6.5</v>
      </c>
      <c r="T17" s="1">
        <v>0.1</v>
      </c>
      <c r="U17" s="1">
        <v>22.4</v>
      </c>
      <c r="V17" s="1">
        <v>87.9</v>
      </c>
      <c r="W17" s="1">
        <v>7.65</v>
      </c>
      <c r="X17" s="1">
        <v>8.5000000000000006E-2</v>
      </c>
      <c r="Y17" s="1">
        <v>7.21</v>
      </c>
      <c r="Z17" s="1" t="s">
        <v>54</v>
      </c>
      <c r="AA17" s="1">
        <v>4.7</v>
      </c>
      <c r="AB17" s="1">
        <v>9</v>
      </c>
      <c r="AC17" s="1" t="s">
        <v>54</v>
      </c>
      <c r="AD17" s="1" t="s">
        <v>54</v>
      </c>
      <c r="AE17" s="1" t="s">
        <v>54</v>
      </c>
      <c r="AF17" s="1" t="s">
        <v>54</v>
      </c>
      <c r="AG17" s="1" t="s">
        <v>54</v>
      </c>
      <c r="AH17" s="1" t="s">
        <v>54</v>
      </c>
      <c r="AI17" s="1" t="s">
        <v>54</v>
      </c>
      <c r="AJ17" s="1" t="s">
        <v>54</v>
      </c>
      <c r="AK17" s="1" t="s">
        <v>54</v>
      </c>
      <c r="AL17" s="1" t="s">
        <v>54</v>
      </c>
      <c r="AM17" s="1" t="s">
        <v>54</v>
      </c>
      <c r="AN17" s="1" t="s">
        <v>54</v>
      </c>
      <c r="AO17" s="1" t="s">
        <v>54</v>
      </c>
      <c r="AP17" s="1" t="s">
        <v>54</v>
      </c>
      <c r="AQ17" s="2">
        <v>43396</v>
      </c>
      <c r="AR17" s="3">
        <v>0.59652777777777777</v>
      </c>
      <c r="AS17" s="1">
        <v>25</v>
      </c>
      <c r="AT17" s="1" t="s">
        <v>80</v>
      </c>
      <c r="AV17" s="1">
        <v>35.956752999999999</v>
      </c>
      <c r="AW17" s="1">
        <v>78.590413999999996</v>
      </c>
    </row>
    <row r="18" spans="1:49" ht="14.1" customHeight="1" x14ac:dyDescent="0.2">
      <c r="A18" t="s">
        <v>81</v>
      </c>
      <c r="B18">
        <v>1471872.15090678</v>
      </c>
      <c r="C18">
        <v>-338986.10051671602</v>
      </c>
      <c r="D18" t="s">
        <v>50</v>
      </c>
      <c r="E18">
        <v>1539862.4160863401</v>
      </c>
      <c r="F18" t="s">
        <v>51</v>
      </c>
      <c r="G18" s="11" t="s">
        <v>164</v>
      </c>
      <c r="H18" s="11" t="s">
        <v>163</v>
      </c>
      <c r="I18" t="s">
        <v>54</v>
      </c>
      <c r="J18">
        <v>6.16</v>
      </c>
      <c r="K18">
        <v>74.88</v>
      </c>
      <c r="L18" t="s">
        <v>55</v>
      </c>
      <c r="O18" s="21"/>
    </row>
    <row r="19" spans="1:49" ht="14.1" customHeight="1" x14ac:dyDescent="0.2">
      <c r="A19" t="s">
        <v>82</v>
      </c>
      <c r="B19">
        <v>1466003.63560483</v>
      </c>
      <c r="C19">
        <v>-327517.832149936</v>
      </c>
      <c r="D19" t="s">
        <v>77</v>
      </c>
      <c r="E19">
        <v>2375053.6585566499</v>
      </c>
      <c r="F19" t="s">
        <v>51</v>
      </c>
      <c r="G19" s="11" t="s">
        <v>164</v>
      </c>
      <c r="H19" s="11" t="s">
        <v>163</v>
      </c>
      <c r="I19" t="s">
        <v>54</v>
      </c>
      <c r="J19">
        <v>9.5</v>
      </c>
      <c r="K19">
        <v>47.15</v>
      </c>
      <c r="L19" t="s">
        <v>55</v>
      </c>
      <c r="O19" s="21"/>
    </row>
    <row r="20" spans="1:49" ht="14.1" customHeight="1" x14ac:dyDescent="0.2">
      <c r="A20" t="s">
        <v>83</v>
      </c>
      <c r="B20">
        <v>1466635.3671118</v>
      </c>
      <c r="C20">
        <v>-336541.13084608997</v>
      </c>
      <c r="D20" t="s">
        <v>77</v>
      </c>
      <c r="E20">
        <v>2375053.6585566499</v>
      </c>
      <c r="F20" t="s">
        <v>51</v>
      </c>
      <c r="G20" s="11" t="s">
        <v>164</v>
      </c>
      <c r="H20" s="11" t="s">
        <v>163</v>
      </c>
      <c r="I20" t="s">
        <v>54</v>
      </c>
      <c r="J20">
        <v>9.5</v>
      </c>
      <c r="K20">
        <v>47.15</v>
      </c>
      <c r="L20" t="s">
        <v>55</v>
      </c>
      <c r="O20" s="21"/>
    </row>
    <row r="21" spans="1:49" ht="14.1" customHeight="1" x14ac:dyDescent="0.2">
      <c r="A21" t="s">
        <v>84</v>
      </c>
      <c r="B21">
        <v>1464697.6796671201</v>
      </c>
      <c r="C21">
        <v>-334213.45571926102</v>
      </c>
      <c r="D21" t="s">
        <v>60</v>
      </c>
      <c r="E21">
        <v>2431945.9785411698</v>
      </c>
      <c r="F21" t="s">
        <v>51</v>
      </c>
      <c r="G21" s="11" t="s">
        <v>164</v>
      </c>
      <c r="H21" s="11" t="s">
        <v>163</v>
      </c>
      <c r="I21" t="s">
        <v>54</v>
      </c>
      <c r="J21">
        <v>9.73</v>
      </c>
      <c r="K21">
        <v>34.1</v>
      </c>
      <c r="L21" t="s">
        <v>55</v>
      </c>
      <c r="O21" s="21"/>
    </row>
    <row r="22" spans="1:49" s="1" customFormat="1" ht="14.1" customHeight="1" x14ac:dyDescent="0.2">
      <c r="A22" s="1" t="s">
        <v>85</v>
      </c>
      <c r="B22" s="1">
        <v>1474071.4814560099</v>
      </c>
      <c r="C22" s="1">
        <v>-334051.12480065803</v>
      </c>
      <c r="D22" s="1" t="s">
        <v>50</v>
      </c>
      <c r="E22" s="1">
        <v>1539862.4160863401</v>
      </c>
      <c r="F22" s="1" t="s">
        <v>51</v>
      </c>
      <c r="G22" s="11" t="s">
        <v>164</v>
      </c>
      <c r="H22" s="11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43395</v>
      </c>
      <c r="N22" s="3">
        <v>0.55555555555555558</v>
      </c>
      <c r="O22" s="20">
        <v>0.55202546296296295</v>
      </c>
      <c r="P22" s="2">
        <v>43396</v>
      </c>
      <c r="Q22" s="1">
        <v>40</v>
      </c>
      <c r="R22" s="1" t="s">
        <v>56</v>
      </c>
      <c r="S22" s="1">
        <v>2.7</v>
      </c>
      <c r="T22" s="1">
        <v>0.1</v>
      </c>
      <c r="U22" s="1">
        <v>20.100000000000001</v>
      </c>
      <c r="V22" s="1">
        <v>93.2</v>
      </c>
      <c r="W22" s="1">
        <v>8.4499999999999993</v>
      </c>
      <c r="X22" s="1">
        <v>8.6999999999999994E-2</v>
      </c>
      <c r="Y22" s="1">
        <v>7.31</v>
      </c>
      <c r="Z22" s="1" t="s">
        <v>54</v>
      </c>
      <c r="AA22" s="1">
        <v>10</v>
      </c>
      <c r="AB22" s="1">
        <v>17.2</v>
      </c>
      <c r="AC22" s="1" t="s">
        <v>54</v>
      </c>
      <c r="AD22" s="1" t="s">
        <v>54</v>
      </c>
      <c r="AE22" s="1" t="s">
        <v>54</v>
      </c>
      <c r="AF22" s="1" t="s">
        <v>54</v>
      </c>
      <c r="AG22" s="1" t="s">
        <v>54</v>
      </c>
      <c r="AH22" s="1" t="s">
        <v>54</v>
      </c>
      <c r="AI22" s="1" t="s">
        <v>54</v>
      </c>
      <c r="AJ22" s="1" t="s">
        <v>54</v>
      </c>
      <c r="AK22" s="1" t="s">
        <v>54</v>
      </c>
      <c r="AL22" s="1" t="s">
        <v>54</v>
      </c>
      <c r="AM22" s="1" t="s">
        <v>54</v>
      </c>
      <c r="AN22" s="1" t="s">
        <v>54</v>
      </c>
      <c r="AO22" s="1" t="s">
        <v>54</v>
      </c>
      <c r="AP22" s="1" t="s">
        <v>54</v>
      </c>
      <c r="AQ22" s="2">
        <v>43396</v>
      </c>
      <c r="AR22" s="3">
        <v>0.53819444444444442</v>
      </c>
      <c r="AS22" s="1">
        <v>9</v>
      </c>
      <c r="AT22" s="1" t="s">
        <v>54</v>
      </c>
      <c r="AU22" s="1" t="s">
        <v>54</v>
      </c>
      <c r="AV22" s="1">
        <v>36.008949999999999</v>
      </c>
      <c r="AW22" s="1">
        <v>78.628191999999999</v>
      </c>
    </row>
    <row r="23" spans="1:49" ht="14.1" customHeight="1" x14ac:dyDescent="0.2">
      <c r="A23" t="s">
        <v>86</v>
      </c>
      <c r="B23">
        <v>1463782.19599281</v>
      </c>
      <c r="C23">
        <v>-333650.36326726701</v>
      </c>
      <c r="D23" t="s">
        <v>60</v>
      </c>
      <c r="E23">
        <v>2431945.9785411698</v>
      </c>
      <c r="F23" t="s">
        <v>51</v>
      </c>
      <c r="G23" s="11" t="s">
        <v>164</v>
      </c>
      <c r="H23" s="11" t="s">
        <v>163</v>
      </c>
      <c r="I23" t="s">
        <v>54</v>
      </c>
      <c r="J23">
        <v>9.73</v>
      </c>
      <c r="K23">
        <v>34.1</v>
      </c>
      <c r="L23" t="s">
        <v>55</v>
      </c>
      <c r="O23" s="21"/>
    </row>
    <row r="24" spans="1:49" ht="14.1" customHeight="1" x14ac:dyDescent="0.2">
      <c r="A24" t="s">
        <v>87</v>
      </c>
      <c r="B24">
        <v>1466637.8331307599</v>
      </c>
      <c r="C24">
        <v>-333258.80687149602</v>
      </c>
      <c r="D24" t="s">
        <v>77</v>
      </c>
      <c r="E24">
        <v>2375053.6585566499</v>
      </c>
      <c r="F24" t="s">
        <v>51</v>
      </c>
      <c r="G24" s="11" t="s">
        <v>164</v>
      </c>
      <c r="H24" s="11" t="s">
        <v>163</v>
      </c>
      <c r="I24" t="s">
        <v>54</v>
      </c>
      <c r="J24">
        <v>9.5</v>
      </c>
      <c r="K24">
        <v>47.15</v>
      </c>
      <c r="L24" t="s">
        <v>55</v>
      </c>
      <c r="O24" s="21"/>
    </row>
    <row r="25" spans="1:49" s="1" customFormat="1" ht="14.1" customHeight="1" x14ac:dyDescent="0.2">
      <c r="A25" s="1" t="s">
        <v>88</v>
      </c>
      <c r="B25" s="1">
        <v>1478871.1743478</v>
      </c>
      <c r="C25" s="1">
        <v>-341117.28595644399</v>
      </c>
      <c r="D25" s="1" t="s">
        <v>58</v>
      </c>
      <c r="E25" s="1">
        <v>1714544.6322379201</v>
      </c>
      <c r="F25" s="1" t="s">
        <v>51</v>
      </c>
      <c r="G25" s="11" t="s">
        <v>164</v>
      </c>
      <c r="H25" s="1" t="s">
        <v>53</v>
      </c>
      <c r="I25" s="1" t="s">
        <v>54</v>
      </c>
      <c r="J25" s="1">
        <v>6.86</v>
      </c>
      <c r="K25" s="1">
        <v>68.05</v>
      </c>
      <c r="L25" s="1" t="s">
        <v>55</v>
      </c>
      <c r="M25" s="2">
        <v>43395</v>
      </c>
      <c r="N25" s="3">
        <v>0.60416666666666663</v>
      </c>
      <c r="O25" s="20">
        <v>0.61114583333333339</v>
      </c>
      <c r="P25" s="2">
        <v>43396</v>
      </c>
      <c r="Q25" s="1">
        <v>40</v>
      </c>
      <c r="R25" s="1" t="s">
        <v>56</v>
      </c>
      <c r="S25" s="1">
        <v>2.2999999999999998</v>
      </c>
      <c r="T25" s="1">
        <v>0.1</v>
      </c>
      <c r="U25" s="1">
        <v>21.7</v>
      </c>
      <c r="V25" s="1">
        <v>69.099999999999994</v>
      </c>
      <c r="W25" s="1">
        <v>6.14</v>
      </c>
      <c r="X25" s="1">
        <v>8.5000000000000006E-2</v>
      </c>
      <c r="Y25" s="1">
        <v>7.23</v>
      </c>
      <c r="Z25" s="1" t="s">
        <v>54</v>
      </c>
      <c r="AA25" s="1">
        <v>4.8</v>
      </c>
      <c r="AB25" s="1">
        <v>8.1999999999999993</v>
      </c>
      <c r="AC25" s="1" t="s">
        <v>54</v>
      </c>
      <c r="AD25" s="1" t="s">
        <v>54</v>
      </c>
      <c r="AE25" s="1" t="s">
        <v>54</v>
      </c>
      <c r="AF25" s="1" t="s">
        <v>54</v>
      </c>
      <c r="AG25" s="1" t="s">
        <v>54</v>
      </c>
      <c r="AH25" s="1" t="s">
        <v>54</v>
      </c>
      <c r="AI25" s="1" t="s">
        <v>54</v>
      </c>
      <c r="AJ25" s="1" t="s">
        <v>54</v>
      </c>
      <c r="AK25" s="1" t="s">
        <v>54</v>
      </c>
      <c r="AL25" s="1" t="s">
        <v>54</v>
      </c>
      <c r="AM25" s="1" t="s">
        <v>54</v>
      </c>
      <c r="AN25" s="1" t="s">
        <v>54</v>
      </c>
      <c r="AO25" s="1" t="s">
        <v>54</v>
      </c>
      <c r="AP25" s="1" t="s">
        <v>54</v>
      </c>
      <c r="AQ25" s="2">
        <v>43396</v>
      </c>
      <c r="AR25" s="3">
        <v>0.60416666666666663</v>
      </c>
      <c r="AS25" s="1" t="s">
        <v>54</v>
      </c>
      <c r="AT25" s="1" t="s">
        <v>54</v>
      </c>
      <c r="AU25" s="1" t="s">
        <v>54</v>
      </c>
      <c r="AV25" s="1">
        <v>35.941994999999999</v>
      </c>
      <c r="AW25" s="1">
        <v>78.588159000000005</v>
      </c>
    </row>
    <row r="26" spans="1:49" ht="14.1" customHeight="1" x14ac:dyDescent="0.2">
      <c r="A26" t="s">
        <v>89</v>
      </c>
      <c r="B26">
        <v>1474281.8653448599</v>
      </c>
      <c r="C26">
        <v>-338339.82420366898</v>
      </c>
      <c r="D26" t="s">
        <v>50</v>
      </c>
      <c r="E26">
        <v>1539862.4160863401</v>
      </c>
      <c r="F26" t="s">
        <v>51</v>
      </c>
      <c r="G26" s="11" t="s">
        <v>164</v>
      </c>
      <c r="H26" s="11" t="s">
        <v>163</v>
      </c>
      <c r="I26" t="s">
        <v>54</v>
      </c>
      <c r="J26">
        <v>6.16</v>
      </c>
      <c r="K26">
        <v>74.88</v>
      </c>
      <c r="L26" t="s">
        <v>55</v>
      </c>
      <c r="O26" s="21"/>
    </row>
    <row r="27" spans="1:49" ht="14.1" customHeight="1" x14ac:dyDescent="0.2">
      <c r="A27" t="s">
        <v>90</v>
      </c>
      <c r="B27">
        <v>1476916.2227235101</v>
      </c>
      <c r="C27">
        <v>-339083.98957078002</v>
      </c>
      <c r="D27" t="s">
        <v>58</v>
      </c>
      <c r="E27">
        <v>1714544.6322379201</v>
      </c>
      <c r="F27" t="s">
        <v>51</v>
      </c>
      <c r="G27" s="11" t="s">
        <v>164</v>
      </c>
      <c r="H27" s="11" t="s">
        <v>163</v>
      </c>
      <c r="I27" t="s">
        <v>54</v>
      </c>
      <c r="J27">
        <v>6.86</v>
      </c>
      <c r="K27">
        <v>68.05</v>
      </c>
      <c r="L27" t="s">
        <v>55</v>
      </c>
      <c r="O27" s="21"/>
    </row>
    <row r="28" spans="1:49" ht="14.1" customHeight="1" x14ac:dyDescent="0.2">
      <c r="A28" t="s">
        <v>91</v>
      </c>
      <c r="B28">
        <v>1465137.89120007</v>
      </c>
      <c r="C28">
        <v>-332813.54121366597</v>
      </c>
      <c r="D28" t="s">
        <v>60</v>
      </c>
      <c r="E28">
        <v>2431945.9785411698</v>
      </c>
      <c r="F28" t="s">
        <v>51</v>
      </c>
      <c r="G28" s="11" t="s">
        <v>164</v>
      </c>
      <c r="H28" s="11" t="s">
        <v>163</v>
      </c>
      <c r="I28" t="s">
        <v>54</v>
      </c>
      <c r="J28">
        <v>9.73</v>
      </c>
      <c r="K28">
        <v>34.1</v>
      </c>
      <c r="L28" t="s">
        <v>55</v>
      </c>
      <c r="O28" s="21"/>
    </row>
    <row r="29" spans="1:49" ht="14.1" customHeight="1" x14ac:dyDescent="0.2">
      <c r="A29" t="s">
        <v>92</v>
      </c>
      <c r="B29">
        <v>1466082.2033639599</v>
      </c>
      <c r="C29">
        <v>-334522.11946422898</v>
      </c>
      <c r="D29" t="s">
        <v>60</v>
      </c>
      <c r="E29">
        <v>2431945.9785411698</v>
      </c>
      <c r="F29" t="s">
        <v>51</v>
      </c>
      <c r="G29" s="11" t="s">
        <v>164</v>
      </c>
      <c r="H29" s="11" t="s">
        <v>163</v>
      </c>
      <c r="I29" t="s">
        <v>54</v>
      </c>
      <c r="J29">
        <v>9.73</v>
      </c>
      <c r="K29">
        <v>34.1</v>
      </c>
      <c r="L29" t="s">
        <v>55</v>
      </c>
      <c r="O29" s="21"/>
    </row>
    <row r="30" spans="1:49" ht="14.1" customHeight="1" x14ac:dyDescent="0.2">
      <c r="A30" t="s">
        <v>93</v>
      </c>
      <c r="B30">
        <v>1472727.8701414301</v>
      </c>
      <c r="C30">
        <v>-335939.681733031</v>
      </c>
      <c r="D30" t="s">
        <v>50</v>
      </c>
      <c r="E30">
        <v>1539862.4160863401</v>
      </c>
      <c r="F30" t="s">
        <v>51</v>
      </c>
      <c r="G30" s="11" t="s">
        <v>164</v>
      </c>
      <c r="H30" s="11" t="s">
        <v>163</v>
      </c>
      <c r="I30" t="s">
        <v>54</v>
      </c>
      <c r="J30">
        <v>6.16</v>
      </c>
      <c r="K30">
        <v>74.88</v>
      </c>
      <c r="L30" t="s">
        <v>55</v>
      </c>
      <c r="O30" s="21"/>
    </row>
    <row r="31" spans="1:49" ht="14.1" customHeight="1" x14ac:dyDescent="0.2">
      <c r="A31" t="s">
        <v>94</v>
      </c>
      <c r="B31">
        <v>1465276.0265150401</v>
      </c>
      <c r="C31">
        <v>-330959.58049092599</v>
      </c>
      <c r="D31" t="s">
        <v>77</v>
      </c>
      <c r="E31">
        <v>2375053.6585566499</v>
      </c>
      <c r="F31" t="s">
        <v>51</v>
      </c>
      <c r="G31" s="11" t="s">
        <v>164</v>
      </c>
      <c r="H31" s="11" t="s">
        <v>163</v>
      </c>
      <c r="I31" t="s">
        <v>54</v>
      </c>
      <c r="J31">
        <v>9.5</v>
      </c>
      <c r="K31">
        <v>47.15</v>
      </c>
      <c r="L31" t="s">
        <v>55</v>
      </c>
      <c r="O31" s="21"/>
    </row>
    <row r="32" spans="1:49" ht="14.1" customHeight="1" x14ac:dyDescent="0.2">
      <c r="A32" t="s">
        <v>95</v>
      </c>
      <c r="B32">
        <v>1466262.3207775</v>
      </c>
      <c r="C32">
        <v>-331948.785246054</v>
      </c>
      <c r="D32" t="s">
        <v>77</v>
      </c>
      <c r="E32">
        <v>2375053.6585566499</v>
      </c>
      <c r="F32" t="s">
        <v>51</v>
      </c>
      <c r="G32" s="11" t="s">
        <v>164</v>
      </c>
      <c r="H32" s="11" t="s">
        <v>163</v>
      </c>
      <c r="I32" t="s">
        <v>54</v>
      </c>
      <c r="J32">
        <v>9.5</v>
      </c>
      <c r="K32">
        <v>47.15</v>
      </c>
      <c r="L32" t="s">
        <v>55</v>
      </c>
      <c r="O32" s="21"/>
    </row>
    <row r="33" spans="1:49" ht="14.1" customHeight="1" x14ac:dyDescent="0.2">
      <c r="A33" t="s">
        <v>96</v>
      </c>
      <c r="B33">
        <v>1478287.1369645</v>
      </c>
      <c r="C33">
        <v>-341378.166103222</v>
      </c>
      <c r="D33" t="s">
        <v>58</v>
      </c>
      <c r="E33">
        <v>1714544.6322379201</v>
      </c>
      <c r="F33" t="s">
        <v>51</v>
      </c>
      <c r="G33" s="11" t="s">
        <v>164</v>
      </c>
      <c r="H33" s="11" t="s">
        <v>163</v>
      </c>
      <c r="I33" t="s">
        <v>54</v>
      </c>
      <c r="J33">
        <v>6.86</v>
      </c>
      <c r="K33">
        <v>68.05</v>
      </c>
      <c r="L33" t="s">
        <v>55</v>
      </c>
      <c r="O33" s="21"/>
    </row>
    <row r="34" spans="1:49" ht="14.1" customHeight="1" x14ac:dyDescent="0.2">
      <c r="A34" t="s">
        <v>97</v>
      </c>
      <c r="B34">
        <v>1472911.3665700001</v>
      </c>
      <c r="C34">
        <v>-336658.87139683502</v>
      </c>
      <c r="D34" t="s">
        <v>50</v>
      </c>
      <c r="E34">
        <v>1539862.4160863401</v>
      </c>
      <c r="F34" t="s">
        <v>51</v>
      </c>
      <c r="G34" s="11" t="s">
        <v>164</v>
      </c>
      <c r="H34" s="11" t="s">
        <v>163</v>
      </c>
      <c r="I34" t="s">
        <v>54</v>
      </c>
      <c r="J34">
        <v>6.16</v>
      </c>
      <c r="K34">
        <v>74.88</v>
      </c>
      <c r="L34" t="s">
        <v>55</v>
      </c>
      <c r="O34" s="21"/>
    </row>
    <row r="35" spans="1:49" ht="14.1" customHeight="1" x14ac:dyDescent="0.2">
      <c r="A35" t="s">
        <v>98</v>
      </c>
      <c r="B35">
        <v>1463664.8937470401</v>
      </c>
      <c r="C35">
        <v>-333193.57717041299</v>
      </c>
      <c r="D35" t="s">
        <v>60</v>
      </c>
      <c r="E35">
        <v>2431945.9785411698</v>
      </c>
      <c r="F35" t="s">
        <v>51</v>
      </c>
      <c r="G35" s="11" t="s">
        <v>164</v>
      </c>
      <c r="H35" s="11" t="s">
        <v>163</v>
      </c>
      <c r="I35" t="s">
        <v>54</v>
      </c>
      <c r="J35">
        <v>9.73</v>
      </c>
      <c r="K35">
        <v>34.1</v>
      </c>
      <c r="L35" t="s">
        <v>55</v>
      </c>
      <c r="O35" s="21"/>
    </row>
    <row r="36" spans="1:49" ht="14.1" customHeight="1" x14ac:dyDescent="0.2">
      <c r="A36" t="s">
        <v>99</v>
      </c>
      <c r="B36">
        <v>1467854.79790562</v>
      </c>
      <c r="C36">
        <v>-335042.413950874</v>
      </c>
      <c r="D36" t="s">
        <v>77</v>
      </c>
      <c r="E36">
        <v>2375053.6585566499</v>
      </c>
      <c r="F36" t="s">
        <v>51</v>
      </c>
      <c r="G36" s="11" t="s">
        <v>164</v>
      </c>
      <c r="H36" s="11" t="s">
        <v>163</v>
      </c>
      <c r="I36" t="s">
        <v>54</v>
      </c>
      <c r="J36">
        <v>9.5</v>
      </c>
      <c r="K36">
        <v>47.15</v>
      </c>
      <c r="L36" t="s">
        <v>55</v>
      </c>
      <c r="O36" s="21"/>
    </row>
    <row r="37" spans="1:49" ht="14.1" customHeight="1" x14ac:dyDescent="0.2">
      <c r="A37" t="s">
        <v>100</v>
      </c>
      <c r="B37">
        <v>1471524.54522541</v>
      </c>
      <c r="C37">
        <v>-339700.88509588502</v>
      </c>
      <c r="D37" t="s">
        <v>50</v>
      </c>
      <c r="E37">
        <v>1539862.4160863401</v>
      </c>
      <c r="F37" t="s">
        <v>51</v>
      </c>
      <c r="G37" s="11" t="s">
        <v>164</v>
      </c>
      <c r="H37" s="11" t="s">
        <v>163</v>
      </c>
      <c r="I37" t="s">
        <v>54</v>
      </c>
      <c r="J37">
        <v>6.16</v>
      </c>
      <c r="K37">
        <v>74.88</v>
      </c>
      <c r="L37" t="s">
        <v>55</v>
      </c>
      <c r="O37" s="21"/>
    </row>
    <row r="38" spans="1:49" ht="14.1" customHeight="1" x14ac:dyDescent="0.2">
      <c r="A38" t="s">
        <v>101</v>
      </c>
      <c r="B38">
        <v>1477487.22809228</v>
      </c>
      <c r="C38">
        <v>-339016.18368315202</v>
      </c>
      <c r="D38" t="s">
        <v>58</v>
      </c>
      <c r="E38">
        <v>1714544.6322379201</v>
      </c>
      <c r="F38" t="s">
        <v>51</v>
      </c>
      <c r="G38" s="11" t="s">
        <v>164</v>
      </c>
      <c r="H38" s="11" t="s">
        <v>163</v>
      </c>
      <c r="I38" t="s">
        <v>54</v>
      </c>
      <c r="J38">
        <v>6.86</v>
      </c>
      <c r="K38">
        <v>68.05</v>
      </c>
      <c r="L38" t="s">
        <v>55</v>
      </c>
      <c r="O38" s="21"/>
    </row>
    <row r="39" spans="1:49" ht="14.1" customHeight="1" x14ac:dyDescent="0.2">
      <c r="A39" t="s">
        <v>102</v>
      </c>
      <c r="B39">
        <v>1466057.13582497</v>
      </c>
      <c r="C39">
        <v>-333244.42384980997</v>
      </c>
      <c r="D39" t="s">
        <v>77</v>
      </c>
      <c r="E39">
        <v>2375053.6585566499</v>
      </c>
      <c r="F39" t="s">
        <v>51</v>
      </c>
      <c r="G39" s="11" t="s">
        <v>164</v>
      </c>
      <c r="H39" s="11" t="s">
        <v>163</v>
      </c>
      <c r="I39" t="s">
        <v>54</v>
      </c>
      <c r="J39">
        <v>9.5</v>
      </c>
      <c r="K39">
        <v>47.15</v>
      </c>
      <c r="L39" t="s">
        <v>55</v>
      </c>
      <c r="O39" s="21"/>
    </row>
    <row r="40" spans="1:49" ht="14.1" customHeight="1" x14ac:dyDescent="0.2">
      <c r="A40" t="s">
        <v>103</v>
      </c>
      <c r="B40">
        <v>1469065.2243494701</v>
      </c>
      <c r="C40">
        <v>-333787.93404601701</v>
      </c>
      <c r="D40" t="s">
        <v>77</v>
      </c>
      <c r="E40">
        <v>2375053.6585566499</v>
      </c>
      <c r="F40" t="s">
        <v>51</v>
      </c>
      <c r="G40" s="11" t="s">
        <v>164</v>
      </c>
      <c r="H40" s="11" t="s">
        <v>163</v>
      </c>
      <c r="I40" t="s">
        <v>54</v>
      </c>
      <c r="J40">
        <v>9.5</v>
      </c>
      <c r="K40">
        <v>47.15</v>
      </c>
      <c r="L40" t="s">
        <v>55</v>
      </c>
      <c r="O40" s="21"/>
    </row>
    <row r="41" spans="1:49" ht="14.1" customHeight="1" x14ac:dyDescent="0.2">
      <c r="A41" t="s">
        <v>104</v>
      </c>
      <c r="B41">
        <v>1479079.03355369</v>
      </c>
      <c r="C41">
        <v>-339736.42960239702</v>
      </c>
      <c r="D41" t="s">
        <v>58</v>
      </c>
      <c r="E41">
        <v>1714544.6322379201</v>
      </c>
      <c r="F41" t="s">
        <v>51</v>
      </c>
      <c r="G41" s="11" t="s">
        <v>164</v>
      </c>
      <c r="H41" s="11" t="s">
        <v>163</v>
      </c>
      <c r="I41" t="s">
        <v>54</v>
      </c>
      <c r="J41">
        <v>6.86</v>
      </c>
      <c r="K41">
        <v>68.05</v>
      </c>
      <c r="L41" t="s">
        <v>55</v>
      </c>
      <c r="O41" s="21"/>
    </row>
    <row r="42" spans="1:49" s="1" customFormat="1" ht="14.1" customHeight="1" x14ac:dyDescent="0.2">
      <c r="A42" s="1" t="s">
        <v>105</v>
      </c>
      <c r="B42" s="1">
        <v>1462146.11370152</v>
      </c>
      <c r="C42" s="1">
        <v>-330706.01100161002</v>
      </c>
      <c r="D42" s="1" t="s">
        <v>106</v>
      </c>
      <c r="E42" s="1">
        <v>646115.10381286498</v>
      </c>
      <c r="F42" s="1" t="s">
        <v>106</v>
      </c>
      <c r="G42" s="1" t="s">
        <v>52</v>
      </c>
      <c r="H42" s="11" t="s">
        <v>53</v>
      </c>
      <c r="I42" s="1" t="s">
        <v>54</v>
      </c>
      <c r="J42" s="1">
        <v>9.0500000000000007</v>
      </c>
      <c r="K42" s="1">
        <v>33.96</v>
      </c>
      <c r="L42" s="1" t="s">
        <v>55</v>
      </c>
      <c r="M42" s="2">
        <v>43395</v>
      </c>
      <c r="N42" s="3">
        <v>0.44513888888888892</v>
      </c>
      <c r="O42" s="20">
        <v>0.4352314814814815</v>
      </c>
      <c r="P42" s="2">
        <v>43396</v>
      </c>
      <c r="Q42" s="1">
        <v>40</v>
      </c>
      <c r="R42" s="1" t="s">
        <v>56</v>
      </c>
      <c r="S42" s="1">
        <v>1.1000000000000001</v>
      </c>
      <c r="T42" s="1">
        <v>0.1</v>
      </c>
      <c r="U42" s="1">
        <v>16.7</v>
      </c>
      <c r="V42" s="1">
        <v>107.2</v>
      </c>
      <c r="W42" s="1">
        <v>10.45</v>
      </c>
      <c r="X42" s="1">
        <v>8.1000000000000003E-2</v>
      </c>
      <c r="Y42" s="1">
        <v>7.41</v>
      </c>
      <c r="Z42" s="1" t="s">
        <v>54</v>
      </c>
      <c r="AA42" s="1">
        <v>14.5</v>
      </c>
      <c r="AB42" s="1">
        <v>20.8</v>
      </c>
      <c r="AC42" s="1">
        <v>0.6</v>
      </c>
      <c r="AD42" s="1">
        <v>16.100000000000001</v>
      </c>
      <c r="AE42" s="1">
        <v>104.4</v>
      </c>
      <c r="AF42" s="1">
        <v>10.3</v>
      </c>
      <c r="AG42" s="1">
        <v>8.1000000000000003E-2</v>
      </c>
      <c r="AH42" s="1">
        <v>7.44</v>
      </c>
      <c r="AI42" s="1" t="s">
        <v>54</v>
      </c>
      <c r="AJ42" s="1">
        <v>16.899999999999999</v>
      </c>
      <c r="AK42" s="1">
        <v>31.2</v>
      </c>
      <c r="AL42" s="11" t="s">
        <v>155</v>
      </c>
      <c r="AM42" s="11" t="s">
        <v>146</v>
      </c>
      <c r="AN42" s="11">
        <v>115</v>
      </c>
      <c r="AO42" s="11">
        <v>25</v>
      </c>
      <c r="AP42" s="11" t="s">
        <v>54</v>
      </c>
      <c r="AQ42" s="2">
        <v>43396</v>
      </c>
      <c r="AR42" s="3">
        <v>0.4284722222222222</v>
      </c>
      <c r="AS42" s="1">
        <v>25</v>
      </c>
      <c r="AT42" s="1" t="s">
        <v>54</v>
      </c>
      <c r="AU42" s="1" t="s">
        <v>54</v>
      </c>
      <c r="AV42" s="1">
        <v>36.055759999999999</v>
      </c>
      <c r="AW42" s="1">
        <v>78.758572000000001</v>
      </c>
    </row>
    <row r="43" spans="1:49" s="1" customFormat="1" ht="14.1" customHeight="1" x14ac:dyDescent="0.2">
      <c r="A43" s="1" t="s">
        <v>107</v>
      </c>
      <c r="B43" s="1">
        <v>1458883.2490767699</v>
      </c>
      <c r="C43" s="1">
        <v>-330137.92613326397</v>
      </c>
      <c r="D43" s="1" t="s">
        <v>106</v>
      </c>
      <c r="E43" s="1">
        <v>646115.10381286498</v>
      </c>
      <c r="F43" s="1" t="s">
        <v>106</v>
      </c>
      <c r="G43" s="1" t="s">
        <v>52</v>
      </c>
      <c r="H43" s="1" t="s">
        <v>53</v>
      </c>
      <c r="I43" s="1" t="s">
        <v>54</v>
      </c>
      <c r="J43" s="1">
        <v>9.0500000000000007</v>
      </c>
      <c r="K43" s="1">
        <v>33.96</v>
      </c>
      <c r="L43" s="1" t="s">
        <v>55</v>
      </c>
      <c r="M43" s="2">
        <v>43395</v>
      </c>
      <c r="N43" s="3">
        <v>0.39027777777777778</v>
      </c>
      <c r="O43" s="20">
        <v>0.37623842592592593</v>
      </c>
      <c r="P43" s="2">
        <v>43396</v>
      </c>
      <c r="Q43" s="1">
        <v>45</v>
      </c>
      <c r="R43" s="1" t="s">
        <v>56</v>
      </c>
      <c r="S43" s="1">
        <v>1.2</v>
      </c>
      <c r="T43" s="1">
        <v>0.1</v>
      </c>
      <c r="U43" s="1">
        <v>15</v>
      </c>
      <c r="V43" s="1">
        <v>103.9</v>
      </c>
      <c r="W43" s="1">
        <v>10.49</v>
      </c>
      <c r="X43" s="1">
        <v>0.14499999999999999</v>
      </c>
      <c r="Y43" s="1">
        <v>6.96</v>
      </c>
      <c r="Z43" s="1" t="s">
        <v>54</v>
      </c>
      <c r="AA43" s="1">
        <v>17.7</v>
      </c>
      <c r="AB43" s="1">
        <v>34.6</v>
      </c>
      <c r="AC43" s="1">
        <v>0.7</v>
      </c>
      <c r="AD43" s="1">
        <v>15.1</v>
      </c>
      <c r="AE43" s="1">
        <v>100.3</v>
      </c>
      <c r="AF43" s="1">
        <v>10.1</v>
      </c>
      <c r="AG43" s="1">
        <v>0.14499999999999999</v>
      </c>
      <c r="AH43" s="1">
        <v>7.01</v>
      </c>
      <c r="AI43" s="1" t="s">
        <v>54</v>
      </c>
      <c r="AJ43" s="1">
        <v>21</v>
      </c>
      <c r="AK43" s="1">
        <v>33</v>
      </c>
      <c r="AM43" s="11" t="s">
        <v>143</v>
      </c>
      <c r="AN43" s="11">
        <v>115</v>
      </c>
      <c r="AO43" s="11">
        <v>25</v>
      </c>
      <c r="AP43" s="11" t="s">
        <v>54</v>
      </c>
      <c r="AQ43" s="2">
        <v>43396</v>
      </c>
      <c r="AR43" s="3">
        <v>0.37013888888888885</v>
      </c>
      <c r="AS43" s="1">
        <v>10.5</v>
      </c>
      <c r="AT43" s="1" t="s">
        <v>54</v>
      </c>
      <c r="AU43" s="1" t="s">
        <v>54</v>
      </c>
      <c r="AV43" s="12">
        <v>36.065286999999998</v>
      </c>
      <c r="AW43" s="1">
        <v>78.795192</v>
      </c>
    </row>
    <row r="44" spans="1:49" s="1" customFormat="1" ht="14.1" customHeight="1" x14ac:dyDescent="0.2">
      <c r="A44" s="1" t="s">
        <v>108</v>
      </c>
      <c r="B44" s="1">
        <v>1460807.26953561</v>
      </c>
      <c r="C44" s="1">
        <v>-330217.48017225403</v>
      </c>
      <c r="D44" s="1" t="s">
        <v>106</v>
      </c>
      <c r="E44" s="1">
        <v>646115.10381286498</v>
      </c>
      <c r="F44" s="1" t="s">
        <v>106</v>
      </c>
      <c r="G44" s="1" t="s">
        <v>52</v>
      </c>
      <c r="H44" s="1" t="s">
        <v>53</v>
      </c>
      <c r="I44" s="1" t="s">
        <v>54</v>
      </c>
      <c r="J44" s="1">
        <v>9.0500000000000007</v>
      </c>
      <c r="K44" s="1">
        <v>33.96</v>
      </c>
      <c r="L44" s="1" t="s">
        <v>55</v>
      </c>
      <c r="M44" s="2">
        <v>43395</v>
      </c>
      <c r="N44" s="3">
        <v>0.4284722222222222</v>
      </c>
      <c r="O44" s="20">
        <v>0.41765046296296293</v>
      </c>
      <c r="P44" s="2">
        <v>43396</v>
      </c>
      <c r="Q44" s="1">
        <v>40</v>
      </c>
      <c r="R44" s="1" t="s">
        <v>56</v>
      </c>
      <c r="S44" s="1">
        <v>1.9</v>
      </c>
      <c r="T44" s="1">
        <v>0.1</v>
      </c>
      <c r="U44" s="1">
        <v>16.100000000000001</v>
      </c>
      <c r="V44" s="1">
        <v>103.5</v>
      </c>
      <c r="W44" s="1">
        <v>10.199999999999999</v>
      </c>
      <c r="X44" s="1">
        <v>8.4000000000000005E-2</v>
      </c>
      <c r="Y44" s="1">
        <v>7.42</v>
      </c>
      <c r="Z44" s="1" t="s">
        <v>54</v>
      </c>
      <c r="AA44" s="1">
        <v>18.600000000000001</v>
      </c>
      <c r="AB44" s="1">
        <v>22.2</v>
      </c>
      <c r="AC44" s="1">
        <v>1.4</v>
      </c>
      <c r="AD44" s="1">
        <v>15.9</v>
      </c>
      <c r="AE44" s="1">
        <v>98</v>
      </c>
      <c r="AF44" s="1">
        <v>9.6999999999999993</v>
      </c>
      <c r="AG44" s="1">
        <v>8.4000000000000005E-2</v>
      </c>
      <c r="AH44" s="1">
        <v>7.42</v>
      </c>
      <c r="AI44" s="1" t="s">
        <v>54</v>
      </c>
      <c r="AJ44" s="1">
        <v>42</v>
      </c>
      <c r="AK44" s="1">
        <v>23.9</v>
      </c>
      <c r="AM44" s="11" t="s">
        <v>144</v>
      </c>
      <c r="AN44" s="11">
        <v>115</v>
      </c>
      <c r="AO44" s="11">
        <v>25</v>
      </c>
      <c r="AP44" s="11" t="s">
        <v>54</v>
      </c>
      <c r="AQ44" s="2">
        <v>43396</v>
      </c>
      <c r="AR44" s="3">
        <v>0.40902777777777777</v>
      </c>
      <c r="AS44" s="1">
        <f>25+16.5</f>
        <v>41.5</v>
      </c>
      <c r="AT44" s="1" t="s">
        <v>109</v>
      </c>
      <c r="AV44" s="1">
        <v>36.061452000000003</v>
      </c>
      <c r="AW44" s="1">
        <v>78.773379000000006</v>
      </c>
    </row>
    <row r="45" spans="1:49" s="1" customFormat="1" ht="14.1" customHeight="1" x14ac:dyDescent="0.2">
      <c r="A45" s="1" t="s">
        <v>110</v>
      </c>
      <c r="B45" s="1">
        <v>1460043.0494104601</v>
      </c>
      <c r="C45" s="1">
        <v>-329004.359972545</v>
      </c>
      <c r="D45" s="1" t="s">
        <v>106</v>
      </c>
      <c r="E45" s="1">
        <v>646115.10381286498</v>
      </c>
      <c r="F45" s="1" t="s">
        <v>106</v>
      </c>
      <c r="G45" s="1" t="s">
        <v>52</v>
      </c>
      <c r="H45" s="1" t="s">
        <v>53</v>
      </c>
      <c r="I45" s="1" t="s">
        <v>54</v>
      </c>
      <c r="J45" s="1">
        <v>9.0500000000000007</v>
      </c>
      <c r="K45" s="1">
        <v>33.96</v>
      </c>
      <c r="L45" s="1" t="s">
        <v>55</v>
      </c>
      <c r="M45" s="2">
        <v>43395</v>
      </c>
      <c r="N45" s="3">
        <v>0.40208333333333335</v>
      </c>
      <c r="O45" s="20">
        <v>0.38799768518518518</v>
      </c>
      <c r="P45" s="2">
        <v>43396</v>
      </c>
      <c r="Q45" s="1">
        <v>40</v>
      </c>
      <c r="R45" s="1" t="s">
        <v>56</v>
      </c>
      <c r="S45" s="1">
        <v>1.2</v>
      </c>
      <c r="T45" s="1">
        <v>0.1</v>
      </c>
      <c r="U45" s="1">
        <v>15.4</v>
      </c>
      <c r="V45" s="1">
        <v>111.5</v>
      </c>
      <c r="W45" s="1">
        <v>11.18</v>
      </c>
      <c r="X45" s="1">
        <v>0.105</v>
      </c>
      <c r="Y45" s="1">
        <v>7.14</v>
      </c>
      <c r="Z45" s="1" t="s">
        <v>54</v>
      </c>
      <c r="AA45" s="1">
        <v>19.7</v>
      </c>
      <c r="AB45" s="1">
        <v>32.1</v>
      </c>
      <c r="AC45" s="1">
        <v>0.7</v>
      </c>
      <c r="AD45" s="1">
        <v>14.9</v>
      </c>
      <c r="AE45" s="1">
        <v>93.2</v>
      </c>
      <c r="AF45" s="1">
        <v>9.9</v>
      </c>
      <c r="AG45" s="1">
        <v>0.08</v>
      </c>
      <c r="AH45" s="1">
        <v>7.29</v>
      </c>
      <c r="AI45" s="1" t="s">
        <v>54</v>
      </c>
      <c r="AJ45" s="1">
        <v>26.2</v>
      </c>
      <c r="AK45" s="1">
        <v>28.4</v>
      </c>
      <c r="AM45" s="11" t="s">
        <v>145</v>
      </c>
      <c r="AN45" s="11">
        <v>115</v>
      </c>
      <c r="AO45" s="11">
        <v>25</v>
      </c>
      <c r="AP45" s="11" t="s">
        <v>54</v>
      </c>
      <c r="AQ45" s="2">
        <v>43396</v>
      </c>
      <c r="AR45" s="3">
        <v>0.38194444444444442</v>
      </c>
      <c r="AS45" s="1">
        <f>25+18</f>
        <v>43</v>
      </c>
      <c r="AT45" s="1" t="s">
        <v>111</v>
      </c>
      <c r="AV45" s="11">
        <v>36.072856999999999</v>
      </c>
      <c r="AW45" s="1">
        <v>78.779208999999994</v>
      </c>
    </row>
    <row r="46" spans="1:49" s="1" customFormat="1" ht="14.1" customHeight="1" x14ac:dyDescent="0.2">
      <c r="A46" s="1" t="s">
        <v>112</v>
      </c>
      <c r="B46" s="1">
        <v>1462432.3630963599</v>
      </c>
      <c r="C46" s="1">
        <v>-331996.43858091702</v>
      </c>
      <c r="D46" s="1" t="s">
        <v>106</v>
      </c>
      <c r="E46" s="1">
        <v>646115.10381286498</v>
      </c>
      <c r="F46" s="1" t="s">
        <v>106</v>
      </c>
      <c r="G46" s="1" t="s">
        <v>52</v>
      </c>
      <c r="H46" s="1" t="s">
        <v>53</v>
      </c>
      <c r="I46" s="1" t="s">
        <v>54</v>
      </c>
      <c r="J46" s="1">
        <v>9.0500000000000007</v>
      </c>
      <c r="K46" s="1">
        <v>33.96</v>
      </c>
      <c r="L46" s="1" t="s">
        <v>55</v>
      </c>
      <c r="M46" s="2">
        <v>43395</v>
      </c>
      <c r="N46" s="3">
        <v>0.46319444444444446</v>
      </c>
      <c r="O46" s="20">
        <v>0.45348379629629632</v>
      </c>
      <c r="P46" s="2">
        <v>43396</v>
      </c>
      <c r="Q46" s="1">
        <v>40</v>
      </c>
      <c r="R46" s="1" t="s">
        <v>56</v>
      </c>
      <c r="S46" s="1">
        <v>2.6</v>
      </c>
      <c r="T46" s="1">
        <v>0.1</v>
      </c>
      <c r="U46" s="1">
        <v>18.3</v>
      </c>
      <c r="V46" s="1">
        <v>100.7</v>
      </c>
      <c r="W46" s="1">
        <v>9.48</v>
      </c>
      <c r="X46" s="1">
        <v>8.2000000000000003E-2</v>
      </c>
      <c r="Y46" s="1">
        <v>7.47</v>
      </c>
      <c r="Z46" s="1" t="s">
        <v>54</v>
      </c>
      <c r="AA46" s="1">
        <v>10.9</v>
      </c>
      <c r="AB46" s="1">
        <v>22.3</v>
      </c>
      <c r="AC46" s="1" t="s">
        <v>54</v>
      </c>
      <c r="AD46" s="1" t="s">
        <v>54</v>
      </c>
      <c r="AE46" s="1" t="s">
        <v>54</v>
      </c>
      <c r="AF46" s="1" t="s">
        <v>54</v>
      </c>
      <c r="AG46" s="1" t="s">
        <v>54</v>
      </c>
      <c r="AH46" s="1" t="s">
        <v>54</v>
      </c>
      <c r="AI46" s="1" t="s">
        <v>54</v>
      </c>
      <c r="AJ46" s="1" t="s">
        <v>54</v>
      </c>
      <c r="AK46" s="1" t="s">
        <v>54</v>
      </c>
      <c r="AL46" s="1" t="s">
        <v>54</v>
      </c>
      <c r="AM46" s="1" t="s">
        <v>54</v>
      </c>
      <c r="AN46" s="1" t="s">
        <v>54</v>
      </c>
      <c r="AO46" s="1" t="s">
        <v>54</v>
      </c>
      <c r="AP46" s="1" t="s">
        <v>54</v>
      </c>
      <c r="AQ46" s="2">
        <v>43396</v>
      </c>
      <c r="AR46" s="3">
        <v>0.44444444444444442</v>
      </c>
      <c r="AS46" s="1">
        <v>4.5</v>
      </c>
      <c r="AT46" s="1" t="s">
        <v>54</v>
      </c>
      <c r="AU46" s="1" t="s">
        <v>54</v>
      </c>
      <c r="AV46" s="11">
        <v>36.043959999999998</v>
      </c>
      <c r="AW46" s="1">
        <v>78.758244000000005</v>
      </c>
    </row>
    <row r="47" spans="1:49" ht="14.1" customHeight="1" x14ac:dyDescent="0.2">
      <c r="A47" t="s">
        <v>113</v>
      </c>
      <c r="B47">
        <v>1460419.5007144799</v>
      </c>
      <c r="C47">
        <v>-329793.659151414</v>
      </c>
      <c r="D47" t="s">
        <v>106</v>
      </c>
      <c r="E47">
        <v>646115.10381286498</v>
      </c>
      <c r="F47" t="s">
        <v>106</v>
      </c>
      <c r="G47" t="s">
        <v>52</v>
      </c>
      <c r="H47" s="11" t="s">
        <v>163</v>
      </c>
      <c r="I47" t="s">
        <v>54</v>
      </c>
      <c r="J47">
        <v>9.0500000000000007</v>
      </c>
      <c r="K47">
        <v>33.96</v>
      </c>
      <c r="L47" t="s">
        <v>55</v>
      </c>
      <c r="O47" s="21"/>
    </row>
    <row r="48" spans="1:49" s="1" customFormat="1" ht="14.1" customHeight="1" x14ac:dyDescent="0.2">
      <c r="A48" s="1" t="s">
        <v>114</v>
      </c>
      <c r="B48" s="1">
        <v>1461044.0071888999</v>
      </c>
      <c r="C48" s="1">
        <v>-329355.06882734102</v>
      </c>
      <c r="D48" s="1" t="s">
        <v>106</v>
      </c>
      <c r="E48" s="1">
        <v>646115.10381286498</v>
      </c>
      <c r="F48" s="1" t="s">
        <v>106</v>
      </c>
      <c r="G48" s="1" t="s">
        <v>52</v>
      </c>
      <c r="H48" s="1" t="s">
        <v>53</v>
      </c>
      <c r="I48" s="1" t="s">
        <v>54</v>
      </c>
      <c r="J48" s="1">
        <v>9.0500000000000007</v>
      </c>
      <c r="K48" s="1">
        <v>33.96</v>
      </c>
      <c r="L48" s="1" t="s">
        <v>55</v>
      </c>
      <c r="M48" s="2">
        <v>43395</v>
      </c>
      <c r="N48" s="3">
        <v>0.42222222222222222</v>
      </c>
      <c r="O48" s="20">
        <v>0.40925925925925927</v>
      </c>
      <c r="P48" s="2">
        <v>43396</v>
      </c>
      <c r="Q48" s="1">
        <v>40</v>
      </c>
      <c r="R48" s="1" t="s">
        <v>56</v>
      </c>
      <c r="S48" s="1">
        <v>2.2000000000000002</v>
      </c>
      <c r="T48" s="1">
        <v>0.1</v>
      </c>
      <c r="U48" s="1">
        <v>16.399999999999999</v>
      </c>
      <c r="V48" s="1">
        <v>101.4</v>
      </c>
      <c r="W48" s="1">
        <v>9.9600000000000009</v>
      </c>
      <c r="X48" s="1">
        <v>8.4000000000000005E-2</v>
      </c>
      <c r="Y48" s="1">
        <v>7.39</v>
      </c>
      <c r="Z48" s="1" t="s">
        <v>54</v>
      </c>
      <c r="AA48" s="1">
        <v>16.3</v>
      </c>
      <c r="AB48" s="1">
        <v>27</v>
      </c>
      <c r="AC48" s="1" t="s">
        <v>54</v>
      </c>
      <c r="AD48" s="1" t="s">
        <v>54</v>
      </c>
      <c r="AE48" s="1" t="s">
        <v>54</v>
      </c>
      <c r="AF48" s="1" t="s">
        <v>54</v>
      </c>
      <c r="AG48" s="1" t="s">
        <v>54</v>
      </c>
      <c r="AH48" s="1" t="s">
        <v>54</v>
      </c>
      <c r="AI48" s="1" t="s">
        <v>54</v>
      </c>
      <c r="AJ48" s="1" t="s">
        <v>54</v>
      </c>
      <c r="AK48" s="1" t="s">
        <v>54</v>
      </c>
      <c r="AL48" s="1" t="s">
        <v>54</v>
      </c>
      <c r="AM48" s="1" t="s">
        <v>54</v>
      </c>
      <c r="AN48" s="1" t="s">
        <v>54</v>
      </c>
      <c r="AO48" s="1" t="s">
        <v>54</v>
      </c>
      <c r="AP48" s="1" t="s">
        <v>54</v>
      </c>
      <c r="AQ48" s="2">
        <v>43396</v>
      </c>
      <c r="AR48" s="3">
        <v>0.40277777777777773</v>
      </c>
      <c r="AS48" s="1">
        <v>17</v>
      </c>
      <c r="AT48" s="1" t="s">
        <v>115</v>
      </c>
      <c r="AV48" s="1">
        <v>36.068286999999998</v>
      </c>
      <c r="AW48" s="1">
        <v>78.768611000000007</v>
      </c>
    </row>
    <row r="49" spans="1:49" ht="14.1" customHeight="1" x14ac:dyDescent="0.2">
      <c r="A49" t="s">
        <v>116</v>
      </c>
      <c r="B49">
        <v>1459214.3085318899</v>
      </c>
      <c r="C49">
        <v>-329057.14778433798</v>
      </c>
      <c r="D49" t="s">
        <v>106</v>
      </c>
      <c r="E49">
        <v>646115.10381286498</v>
      </c>
      <c r="F49" t="s">
        <v>106</v>
      </c>
      <c r="G49" t="s">
        <v>52</v>
      </c>
      <c r="H49" s="11" t="s">
        <v>163</v>
      </c>
      <c r="I49" t="s">
        <v>54</v>
      </c>
      <c r="J49">
        <v>9.0500000000000007</v>
      </c>
      <c r="K49">
        <v>33.96</v>
      </c>
      <c r="L49" t="s">
        <v>55</v>
      </c>
      <c r="O49" s="21"/>
    </row>
    <row r="50" spans="1:49" s="1" customFormat="1" ht="14.1" customHeight="1" x14ac:dyDescent="0.2">
      <c r="A50" s="1" t="s">
        <v>117</v>
      </c>
      <c r="B50" s="1">
        <v>1462405.38347255</v>
      </c>
      <c r="C50" s="1">
        <v>-331127.92091316101</v>
      </c>
      <c r="D50" s="1" t="s">
        <v>106</v>
      </c>
      <c r="E50" s="1">
        <v>646115.10381286498</v>
      </c>
      <c r="F50" s="1" t="s">
        <v>106</v>
      </c>
      <c r="G50" s="1" t="s">
        <v>52</v>
      </c>
      <c r="H50" s="1" t="s">
        <v>53</v>
      </c>
      <c r="I50" s="1" t="s">
        <v>54</v>
      </c>
      <c r="J50" s="1">
        <v>9.0500000000000007</v>
      </c>
      <c r="K50" s="1">
        <v>33.96</v>
      </c>
      <c r="L50" s="1" t="s">
        <v>55</v>
      </c>
      <c r="M50" s="2">
        <v>43395</v>
      </c>
      <c r="N50" s="3">
        <v>0.45069444444444445</v>
      </c>
      <c r="O50" s="20">
        <v>0.44077546296296299</v>
      </c>
      <c r="P50" s="2">
        <v>43396</v>
      </c>
      <c r="Q50" s="1">
        <v>40</v>
      </c>
      <c r="R50" s="1" t="s">
        <v>56</v>
      </c>
      <c r="S50" s="1">
        <v>2.8</v>
      </c>
      <c r="T50" s="1">
        <v>0.1</v>
      </c>
      <c r="U50" s="1">
        <v>16.7</v>
      </c>
      <c r="V50" s="1">
        <v>107.3</v>
      </c>
      <c r="W50" s="1">
        <v>10.4</v>
      </c>
      <c r="X50" s="1">
        <v>8.1000000000000003E-2</v>
      </c>
      <c r="Y50" s="1">
        <v>7.45</v>
      </c>
      <c r="Z50" s="1" t="s">
        <v>54</v>
      </c>
      <c r="AA50" s="1">
        <v>13.4</v>
      </c>
      <c r="AB50" s="1">
        <v>28.4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2">
        <v>43396</v>
      </c>
      <c r="AR50" s="3">
        <v>0.43472222222222223</v>
      </c>
      <c r="AS50" s="1">
        <v>8</v>
      </c>
      <c r="AT50" s="1" t="s">
        <v>54</v>
      </c>
      <c r="AU50" s="1" t="s">
        <v>54</v>
      </c>
      <c r="AV50" s="1">
        <v>36.051225000000002</v>
      </c>
      <c r="AW50" s="1">
        <v>78.756766999999996</v>
      </c>
    </row>
    <row r="51" spans="1:49" s="1" customFormat="1" ht="14.1" customHeight="1" x14ac:dyDescent="0.2">
      <c r="A51" s="1" t="s">
        <v>118</v>
      </c>
      <c r="B51" s="1">
        <v>1459545.6584246</v>
      </c>
      <c r="C51" s="1">
        <v>-329684.59249679599</v>
      </c>
      <c r="D51" s="1" t="s">
        <v>106</v>
      </c>
      <c r="E51" s="1">
        <v>646115.10381286498</v>
      </c>
      <c r="F51" s="1" t="s">
        <v>106</v>
      </c>
      <c r="G51" s="1" t="s">
        <v>52</v>
      </c>
      <c r="H51" s="1" t="s">
        <v>53</v>
      </c>
      <c r="I51" s="1" t="s">
        <v>54</v>
      </c>
      <c r="J51" s="1">
        <v>9.0500000000000007</v>
      </c>
      <c r="K51" s="1">
        <v>33.96</v>
      </c>
      <c r="L51" s="1" t="s">
        <v>55</v>
      </c>
      <c r="M51" s="2">
        <v>43395</v>
      </c>
      <c r="N51" s="3">
        <v>0.39652777777777781</v>
      </c>
      <c r="O51" s="20">
        <v>0.38299768518518523</v>
      </c>
      <c r="P51" s="2">
        <v>43396</v>
      </c>
      <c r="Q51" s="1">
        <v>45</v>
      </c>
      <c r="R51" s="1" t="s">
        <v>56</v>
      </c>
      <c r="S51" s="1">
        <v>1.1000000000000001</v>
      </c>
      <c r="T51" s="1">
        <v>0.1</v>
      </c>
      <c r="U51" s="1">
        <v>15.2</v>
      </c>
      <c r="V51" s="1">
        <v>104.7</v>
      </c>
      <c r="W51" s="1">
        <v>10.56</v>
      </c>
      <c r="X51" s="1">
        <v>9.1999999999999998E-2</v>
      </c>
      <c r="Y51" s="1">
        <v>7.14</v>
      </c>
      <c r="Z51" s="1" t="s">
        <v>54</v>
      </c>
      <c r="AA51" s="1">
        <v>24.8</v>
      </c>
      <c r="AB51" s="1">
        <v>27.8</v>
      </c>
      <c r="AC51" s="1" t="s">
        <v>54</v>
      </c>
      <c r="AD51" s="1" t="s">
        <v>54</v>
      </c>
      <c r="AE51" s="1" t="s">
        <v>54</v>
      </c>
      <c r="AF51" s="1" t="s">
        <v>54</v>
      </c>
      <c r="AG51" s="1" t="s">
        <v>54</v>
      </c>
      <c r="AH51" s="1" t="s">
        <v>54</v>
      </c>
      <c r="AI51" s="1" t="s">
        <v>54</v>
      </c>
      <c r="AJ51" s="1" t="s">
        <v>54</v>
      </c>
      <c r="AK51" s="1" t="s">
        <v>54</v>
      </c>
      <c r="AL51" s="1" t="s">
        <v>54</v>
      </c>
      <c r="AM51" s="1" t="s">
        <v>54</v>
      </c>
      <c r="AN51" s="1" t="s">
        <v>54</v>
      </c>
      <c r="AO51" s="1" t="s">
        <v>54</v>
      </c>
      <c r="AP51" s="1" t="s">
        <v>54</v>
      </c>
      <c r="AQ51" s="2">
        <v>43396</v>
      </c>
      <c r="AR51" s="3">
        <v>0.375</v>
      </c>
      <c r="AS51" s="1">
        <v>0.5</v>
      </c>
      <c r="AT51" s="1" t="s">
        <v>54</v>
      </c>
      <c r="AU51" s="1" t="s">
        <v>54</v>
      </c>
      <c r="AV51" s="1">
        <v>36.068142999999999</v>
      </c>
      <c r="AW51" s="1">
        <v>78.786058999999995</v>
      </c>
    </row>
    <row r="52" spans="1:49" ht="14.1" customHeight="1" x14ac:dyDescent="0.2">
      <c r="A52" t="s">
        <v>119</v>
      </c>
      <c r="B52">
        <v>1460710.10350598</v>
      </c>
      <c r="C52">
        <v>-331828.07014131598</v>
      </c>
      <c r="D52" t="s">
        <v>106</v>
      </c>
      <c r="E52">
        <v>646115.10381286498</v>
      </c>
      <c r="F52" t="s">
        <v>106</v>
      </c>
      <c r="G52" t="s">
        <v>52</v>
      </c>
      <c r="H52" s="11" t="s">
        <v>163</v>
      </c>
      <c r="I52" t="s">
        <v>54</v>
      </c>
      <c r="J52">
        <v>9.0500000000000007</v>
      </c>
      <c r="K52">
        <v>33.96</v>
      </c>
      <c r="L52" t="s">
        <v>55</v>
      </c>
      <c r="O52" s="21"/>
    </row>
    <row r="53" spans="1:49" s="1" customFormat="1" ht="14.1" customHeight="1" x14ac:dyDescent="0.2">
      <c r="A53" s="1" t="s">
        <v>120</v>
      </c>
      <c r="B53" s="1">
        <v>1461494.6966983201</v>
      </c>
      <c r="C53" s="1">
        <v>-327926.46614629403</v>
      </c>
      <c r="D53" s="1" t="s">
        <v>106</v>
      </c>
      <c r="E53" s="1">
        <v>646115.10381286498</v>
      </c>
      <c r="F53" s="1" t="s">
        <v>106</v>
      </c>
      <c r="G53" s="1" t="s">
        <v>52</v>
      </c>
      <c r="H53" s="1" t="s">
        <v>53</v>
      </c>
      <c r="I53" s="1" t="s">
        <v>54</v>
      </c>
      <c r="J53" s="1">
        <v>9.0500000000000007</v>
      </c>
      <c r="K53" s="1">
        <v>33.96</v>
      </c>
      <c r="L53" s="1" t="s">
        <v>55</v>
      </c>
      <c r="M53" s="2">
        <v>43395</v>
      </c>
      <c r="N53" s="3">
        <v>0.41180555555555554</v>
      </c>
      <c r="O53" s="20">
        <v>0.3963888888888889</v>
      </c>
      <c r="P53" s="2">
        <v>43396</v>
      </c>
      <c r="Q53" s="1">
        <v>40</v>
      </c>
      <c r="R53" s="1" t="s">
        <v>56</v>
      </c>
      <c r="S53" s="1">
        <v>1.4</v>
      </c>
      <c r="T53" s="1">
        <v>0.1</v>
      </c>
      <c r="U53" s="1">
        <v>16.600000000000001</v>
      </c>
      <c r="V53" s="1">
        <v>107.4</v>
      </c>
      <c r="W53" s="1">
        <v>10.57</v>
      </c>
      <c r="X53" s="1">
        <v>8.8999999999999996E-2</v>
      </c>
      <c r="Y53" s="1">
        <v>7.22</v>
      </c>
      <c r="Z53" s="1" t="s">
        <v>54</v>
      </c>
      <c r="AA53" s="1">
        <v>18.600000000000001</v>
      </c>
      <c r="AB53" s="1">
        <v>26</v>
      </c>
      <c r="AC53" s="1" t="s">
        <v>54</v>
      </c>
      <c r="AD53" s="1" t="s">
        <v>54</v>
      </c>
      <c r="AE53" s="1" t="s">
        <v>54</v>
      </c>
      <c r="AF53" s="1" t="s">
        <v>54</v>
      </c>
      <c r="AG53" s="1" t="s">
        <v>54</v>
      </c>
      <c r="AH53" s="1" t="s">
        <v>54</v>
      </c>
      <c r="AI53" s="1" t="s">
        <v>54</v>
      </c>
      <c r="AJ53" s="1" t="s">
        <v>54</v>
      </c>
      <c r="AK53" s="1" t="s">
        <v>54</v>
      </c>
      <c r="AL53" s="1" t="s">
        <v>54</v>
      </c>
      <c r="AM53" s="1" t="s">
        <v>54</v>
      </c>
      <c r="AN53" s="1" t="s">
        <v>54</v>
      </c>
      <c r="AO53" s="1" t="s">
        <v>54</v>
      </c>
      <c r="AP53" s="1" t="s">
        <v>54</v>
      </c>
      <c r="AQ53" s="2">
        <v>43396</v>
      </c>
      <c r="AR53" s="3">
        <v>0.38958333333333334</v>
      </c>
      <c r="AS53" s="1">
        <v>0.5</v>
      </c>
      <c r="AT53" s="1" t="s">
        <v>54</v>
      </c>
      <c r="AU53" s="1" t="s">
        <v>54</v>
      </c>
      <c r="AV53" s="1">
        <v>36.079635000000003</v>
      </c>
      <c r="AW53" s="1">
        <v>78.760328999999999</v>
      </c>
    </row>
    <row r="54" spans="1:49" s="1" customFormat="1" ht="14.1" customHeight="1" x14ac:dyDescent="0.2">
      <c r="A54" s="1" t="s">
        <v>121</v>
      </c>
      <c r="B54" s="1">
        <v>1458850.18612617</v>
      </c>
      <c r="C54" s="1">
        <v>-329663.84827559098</v>
      </c>
      <c r="D54" s="1" t="s">
        <v>106</v>
      </c>
      <c r="E54" s="1">
        <v>646115.10381286498</v>
      </c>
      <c r="F54" s="1" t="s">
        <v>106</v>
      </c>
      <c r="G54" s="1" t="s">
        <v>52</v>
      </c>
      <c r="H54" s="1" t="s">
        <v>53</v>
      </c>
      <c r="I54" s="1" t="s">
        <v>54</v>
      </c>
      <c r="J54" s="1">
        <v>9.0500000000000007</v>
      </c>
      <c r="K54" s="1">
        <v>33.96</v>
      </c>
      <c r="L54" s="1" t="s">
        <v>55</v>
      </c>
      <c r="M54" s="2">
        <v>43395</v>
      </c>
      <c r="N54" s="3">
        <v>0.38541666666666669</v>
      </c>
      <c r="O54" s="20">
        <v>0.36932870370370369</v>
      </c>
      <c r="P54" s="2">
        <v>43396</v>
      </c>
      <c r="Q54" s="1">
        <v>45</v>
      </c>
      <c r="R54" s="1" t="s">
        <v>56</v>
      </c>
      <c r="S54" s="1">
        <v>1.3</v>
      </c>
      <c r="T54" s="1">
        <v>0.1</v>
      </c>
      <c r="U54" s="1">
        <v>15.1</v>
      </c>
      <c r="V54" s="1">
        <v>110.7</v>
      </c>
      <c r="W54" s="1">
        <v>11.16</v>
      </c>
      <c r="X54" s="1">
        <v>0.17299999999999999</v>
      </c>
      <c r="Y54" s="1">
        <v>7.06</v>
      </c>
      <c r="Z54" s="1" t="s">
        <v>54</v>
      </c>
      <c r="AA54" s="1">
        <v>15.7</v>
      </c>
      <c r="AB54" s="1">
        <v>32.200000000000003</v>
      </c>
      <c r="AC54" s="1" t="s">
        <v>54</v>
      </c>
      <c r="AD54" s="1" t="s">
        <v>54</v>
      </c>
      <c r="AE54" s="1" t="s">
        <v>54</v>
      </c>
      <c r="AF54" s="1" t="s">
        <v>54</v>
      </c>
      <c r="AG54" s="1" t="s">
        <v>54</v>
      </c>
      <c r="AH54" s="1" t="s">
        <v>54</v>
      </c>
      <c r="AI54" s="1" t="s">
        <v>54</v>
      </c>
      <c r="AJ54" s="1" t="s">
        <v>54</v>
      </c>
      <c r="AK54" s="1" t="s">
        <v>54</v>
      </c>
      <c r="AL54" s="1" t="s">
        <v>54</v>
      </c>
      <c r="AM54" s="1" t="s">
        <v>54</v>
      </c>
      <c r="AN54" s="1" t="s">
        <v>54</v>
      </c>
      <c r="AO54" s="1" t="s">
        <v>54</v>
      </c>
      <c r="AP54" s="1" t="s">
        <v>54</v>
      </c>
      <c r="AQ54" s="2">
        <v>43396</v>
      </c>
      <c r="AR54" s="3">
        <v>0.3611111111111111</v>
      </c>
      <c r="AS54" s="1">
        <v>0</v>
      </c>
      <c r="AT54" s="1" t="s">
        <v>54</v>
      </c>
      <c r="AU54" s="1" t="s">
        <v>54</v>
      </c>
      <c r="AV54" s="1">
        <v>36.069000000000003</v>
      </c>
      <c r="AW54" s="1">
        <v>78.794756000000007</v>
      </c>
    </row>
    <row r="55" spans="1:49" s="1" customFormat="1" ht="14.1" customHeight="1" x14ac:dyDescent="0.2">
      <c r="A55" s="1" t="s">
        <v>122</v>
      </c>
      <c r="B55" s="1">
        <v>1461556.41889928</v>
      </c>
      <c r="C55" s="1">
        <v>-330515.08316079603</v>
      </c>
      <c r="D55" s="1" t="s">
        <v>106</v>
      </c>
      <c r="E55" s="1">
        <v>646115.10381286498</v>
      </c>
      <c r="F55" s="1" t="s">
        <v>106</v>
      </c>
      <c r="G55" s="1" t="s">
        <v>52</v>
      </c>
      <c r="H55" s="1" t="s">
        <v>53</v>
      </c>
      <c r="I55" s="1" t="s">
        <v>54</v>
      </c>
      <c r="J55" s="1">
        <v>9.0500000000000007</v>
      </c>
      <c r="K55" s="1">
        <v>33.96</v>
      </c>
      <c r="L55" s="1" t="s">
        <v>55</v>
      </c>
      <c r="M55" s="2">
        <v>43395</v>
      </c>
      <c r="N55" s="3">
        <v>0.43541666666666662</v>
      </c>
      <c r="O55" s="20">
        <v>0.42486111111111113</v>
      </c>
      <c r="P55" s="2">
        <v>43396</v>
      </c>
      <c r="Q55" s="1">
        <v>40</v>
      </c>
      <c r="R55" s="1" t="s">
        <v>56</v>
      </c>
      <c r="S55" s="1">
        <v>2</v>
      </c>
      <c r="T55" s="1">
        <v>0.1</v>
      </c>
      <c r="U55" s="1">
        <v>16.7</v>
      </c>
      <c r="V55" s="1">
        <v>100.9</v>
      </c>
      <c r="W55" s="1">
        <v>9.89</v>
      </c>
      <c r="X55" s="1">
        <v>8.4000000000000005E-2</v>
      </c>
      <c r="Y55" s="1">
        <v>7.41</v>
      </c>
      <c r="Z55" s="1" t="s">
        <v>54</v>
      </c>
      <c r="AA55" s="1">
        <v>17</v>
      </c>
      <c r="AB55" s="1">
        <v>21</v>
      </c>
      <c r="AC55" s="1" t="s">
        <v>54</v>
      </c>
      <c r="AD55" s="1" t="s">
        <v>54</v>
      </c>
      <c r="AE55" s="1" t="s">
        <v>54</v>
      </c>
      <c r="AF55" s="1" t="s">
        <v>54</v>
      </c>
      <c r="AG55" s="1" t="s">
        <v>54</v>
      </c>
      <c r="AH55" s="1" t="s">
        <v>54</v>
      </c>
      <c r="AI55" s="1" t="s">
        <v>54</v>
      </c>
      <c r="AJ55" s="1" t="s">
        <v>54</v>
      </c>
      <c r="AK55" s="1" t="s">
        <v>54</v>
      </c>
      <c r="AL55" s="1" t="s">
        <v>54</v>
      </c>
      <c r="AM55" s="1" t="s">
        <v>54</v>
      </c>
      <c r="AN55" s="1" t="s">
        <v>54</v>
      </c>
      <c r="AO55" s="1" t="s">
        <v>54</v>
      </c>
      <c r="AP55" s="1" t="s">
        <v>54</v>
      </c>
      <c r="AQ55" s="2">
        <v>43396</v>
      </c>
      <c r="AR55" s="3">
        <v>0.41666666666666669</v>
      </c>
      <c r="AS55" s="1">
        <v>2.5</v>
      </c>
      <c r="AT55" s="1" t="s">
        <v>54</v>
      </c>
      <c r="AU55" s="1" t="s">
        <v>54</v>
      </c>
      <c r="AV55" s="1">
        <v>36.057763000000001</v>
      </c>
      <c r="AW55" s="1">
        <v>78.765153999999995</v>
      </c>
    </row>
    <row r="56" spans="1:49" s="1" customFormat="1" ht="14.1" customHeight="1" x14ac:dyDescent="0.2">
      <c r="A56" s="1" t="s">
        <v>123</v>
      </c>
      <c r="B56" s="1">
        <v>1461966.0872102999</v>
      </c>
      <c r="C56" s="1">
        <v>-331004.33148379897</v>
      </c>
      <c r="D56" s="1" t="s">
        <v>106</v>
      </c>
      <c r="E56" s="1">
        <v>646115.10381286498</v>
      </c>
      <c r="F56" s="1" t="s">
        <v>106</v>
      </c>
      <c r="G56" s="11" t="s">
        <v>164</v>
      </c>
      <c r="H56" s="1" t="s">
        <v>53</v>
      </c>
      <c r="I56" s="1" t="s">
        <v>54</v>
      </c>
      <c r="J56" s="1">
        <v>9.0500000000000007</v>
      </c>
      <c r="K56" s="1">
        <v>33.96</v>
      </c>
      <c r="L56" s="1" t="s">
        <v>55</v>
      </c>
      <c r="M56" s="2">
        <v>43395</v>
      </c>
      <c r="N56" s="3">
        <v>0.44097222222222227</v>
      </c>
      <c r="O56" s="20">
        <v>0.43025462962962963</v>
      </c>
      <c r="P56" s="2">
        <v>43396</v>
      </c>
      <c r="Q56" s="1">
        <v>40</v>
      </c>
      <c r="R56" s="1" t="s">
        <v>56</v>
      </c>
      <c r="S56" s="1">
        <v>2.4</v>
      </c>
      <c r="T56" s="1">
        <v>0.1</v>
      </c>
      <c r="U56" s="1">
        <v>16.5</v>
      </c>
      <c r="V56" s="1">
        <v>105.4</v>
      </c>
      <c r="W56" s="1">
        <v>10.3</v>
      </c>
      <c r="X56" s="1">
        <v>8.1000000000000003E-2</v>
      </c>
      <c r="Y56" s="1">
        <v>7.38</v>
      </c>
      <c r="Z56" s="1" t="s">
        <v>54</v>
      </c>
      <c r="AA56" s="1">
        <v>15.7</v>
      </c>
      <c r="AB56" s="1">
        <v>24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43396</v>
      </c>
      <c r="AR56" s="3">
        <v>0.4236111111111111</v>
      </c>
      <c r="AS56" s="1">
        <v>2</v>
      </c>
      <c r="AT56" s="1" t="s">
        <v>54</v>
      </c>
      <c r="AU56" s="1" t="s">
        <v>54</v>
      </c>
      <c r="AV56" s="1">
        <v>36.053049999999999</v>
      </c>
      <c r="AW56" s="12">
        <v>78.761596999999995</v>
      </c>
    </row>
    <row r="57" spans="1:49" s="1" customFormat="1" ht="14.1" customHeight="1" x14ac:dyDescent="0.2">
      <c r="A57" s="1" t="s">
        <v>124</v>
      </c>
      <c r="B57" s="1">
        <v>1461153.3383941799</v>
      </c>
      <c r="C57" s="1">
        <v>-328803.36032379</v>
      </c>
      <c r="D57" s="1" t="s">
        <v>106</v>
      </c>
      <c r="E57" s="1">
        <v>646115.10381286498</v>
      </c>
      <c r="F57" s="1" t="s">
        <v>106</v>
      </c>
      <c r="G57" s="11" t="s">
        <v>164</v>
      </c>
      <c r="H57" s="1" t="s">
        <v>53</v>
      </c>
      <c r="I57" s="1" t="s">
        <v>54</v>
      </c>
      <c r="J57" s="1">
        <v>9.0500000000000007</v>
      </c>
      <c r="K57" s="1">
        <v>33.96</v>
      </c>
      <c r="L57" s="1" t="s">
        <v>55</v>
      </c>
      <c r="M57" s="2">
        <v>43395</v>
      </c>
      <c r="N57" s="3">
        <v>0.41736111111111113</v>
      </c>
      <c r="O57" s="20">
        <v>0.40416666666666662</v>
      </c>
      <c r="P57" s="2">
        <v>43396</v>
      </c>
      <c r="Q57" s="1">
        <v>40</v>
      </c>
      <c r="R57" s="1" t="s">
        <v>56</v>
      </c>
      <c r="S57" s="1">
        <v>2.5</v>
      </c>
      <c r="T57" s="1">
        <v>0.1</v>
      </c>
      <c r="U57" s="1">
        <v>16.899999999999999</v>
      </c>
      <c r="V57" s="1">
        <v>99.1</v>
      </c>
      <c r="W57" s="1">
        <v>9.6199999999999992</v>
      </c>
      <c r="X57" s="1">
        <v>8.3000000000000004E-2</v>
      </c>
      <c r="Y57" s="1">
        <v>7.31</v>
      </c>
      <c r="Z57" s="1" t="s">
        <v>54</v>
      </c>
      <c r="AA57" s="1">
        <v>15</v>
      </c>
      <c r="AB57" s="1">
        <v>27</v>
      </c>
      <c r="AC57" s="1" t="s">
        <v>54</v>
      </c>
      <c r="AD57" s="1" t="s">
        <v>54</v>
      </c>
      <c r="AE57" s="1" t="s">
        <v>54</v>
      </c>
      <c r="AF57" s="1" t="s">
        <v>54</v>
      </c>
      <c r="AG57" s="1" t="s">
        <v>54</v>
      </c>
      <c r="AH57" s="1" t="s">
        <v>54</v>
      </c>
      <c r="AI57" s="1" t="s">
        <v>54</v>
      </c>
      <c r="AJ57" s="1" t="s">
        <v>54</v>
      </c>
      <c r="AK57" s="1" t="s">
        <v>54</v>
      </c>
      <c r="AL57" s="1" t="s">
        <v>54</v>
      </c>
      <c r="AM57" s="1" t="s">
        <v>54</v>
      </c>
      <c r="AN57" s="1" t="s">
        <v>54</v>
      </c>
      <c r="AO57" s="1" t="s">
        <v>54</v>
      </c>
      <c r="AP57" s="1" t="s">
        <v>54</v>
      </c>
      <c r="AQ57" s="2">
        <v>43396</v>
      </c>
      <c r="AR57" s="3">
        <v>0.3923611111111111</v>
      </c>
      <c r="AS57" s="1">
        <f>25+25+25+4</f>
        <v>79</v>
      </c>
      <c r="AT57" s="1" t="s">
        <v>125</v>
      </c>
      <c r="AV57" s="1">
        <v>36.072772999999998</v>
      </c>
      <c r="AW57" s="11">
        <v>78.766282099999998</v>
      </c>
    </row>
    <row r="58" spans="1:49" s="1" customFormat="1" ht="14.1" customHeight="1" x14ac:dyDescent="0.2">
      <c r="A58" s="1" t="s">
        <v>126</v>
      </c>
      <c r="B58" s="1">
        <v>1462816.7064625199</v>
      </c>
      <c r="C58" s="1">
        <v>-331412.97293045599</v>
      </c>
      <c r="D58" s="1" t="s">
        <v>106</v>
      </c>
      <c r="E58" s="1">
        <v>646115.10381286498</v>
      </c>
      <c r="F58" s="1" t="s">
        <v>106</v>
      </c>
      <c r="G58" s="11" t="s">
        <v>164</v>
      </c>
      <c r="H58" s="1" t="s">
        <v>53</v>
      </c>
      <c r="I58" s="1" t="s">
        <v>54</v>
      </c>
      <c r="J58" s="1">
        <v>9.0500000000000007</v>
      </c>
      <c r="K58" s="1">
        <v>33.96</v>
      </c>
      <c r="L58" s="1" t="s">
        <v>55</v>
      </c>
      <c r="M58" s="2">
        <v>43395</v>
      </c>
      <c r="N58" s="3">
        <v>0.45833333333333331</v>
      </c>
      <c r="O58" s="20">
        <v>0.44869212962962962</v>
      </c>
      <c r="P58" s="2">
        <v>43396</v>
      </c>
      <c r="Q58" s="1">
        <v>40</v>
      </c>
      <c r="R58" s="1" t="s">
        <v>56</v>
      </c>
      <c r="S58" s="1">
        <v>2.2999999999999998</v>
      </c>
      <c r="T58" s="1">
        <v>0.1</v>
      </c>
      <c r="U58" s="1">
        <v>17.899999999999999</v>
      </c>
      <c r="V58" s="1">
        <v>108.5</v>
      </c>
      <c r="W58" s="1">
        <v>10.3</v>
      </c>
      <c r="X58" s="1">
        <v>8.2000000000000003E-2</v>
      </c>
      <c r="Y58" s="1">
        <v>7.42</v>
      </c>
      <c r="Z58" s="1" t="s">
        <v>54</v>
      </c>
      <c r="AA58" s="1">
        <v>10.3</v>
      </c>
      <c r="AB58" s="1">
        <v>16.7</v>
      </c>
      <c r="AC58" s="1" t="s">
        <v>54</v>
      </c>
      <c r="AD58" s="1" t="s">
        <v>54</v>
      </c>
      <c r="AE58" s="1" t="s">
        <v>54</v>
      </c>
      <c r="AF58" s="1" t="s">
        <v>54</v>
      </c>
      <c r="AG58" s="1" t="s">
        <v>54</v>
      </c>
      <c r="AH58" s="1" t="s">
        <v>54</v>
      </c>
      <c r="AI58" s="1" t="s">
        <v>54</v>
      </c>
      <c r="AJ58" s="1" t="s">
        <v>54</v>
      </c>
      <c r="AK58" s="1" t="s">
        <v>54</v>
      </c>
      <c r="AL58" s="1" t="s">
        <v>54</v>
      </c>
      <c r="AM58" s="1" t="s">
        <v>54</v>
      </c>
      <c r="AN58" s="1" t="s">
        <v>54</v>
      </c>
      <c r="AO58" s="1" t="s">
        <v>54</v>
      </c>
      <c r="AP58" s="1" t="s">
        <v>54</v>
      </c>
      <c r="AQ58" s="2">
        <v>43396</v>
      </c>
      <c r="AR58" s="3">
        <v>0.44236111111111115</v>
      </c>
      <c r="AS58" s="1">
        <v>5</v>
      </c>
      <c r="AT58" s="1" t="s">
        <v>54</v>
      </c>
      <c r="AU58" s="1" t="s">
        <v>54</v>
      </c>
      <c r="AV58" s="1">
        <v>36.048437999999997</v>
      </c>
      <c r="AW58" s="1">
        <v>78.752465999999998</v>
      </c>
    </row>
    <row r="59" spans="1:49" ht="14.1" customHeight="1" x14ac:dyDescent="0.2">
      <c r="A59" t="s">
        <v>127</v>
      </c>
      <c r="B59">
        <v>1460422.9056593799</v>
      </c>
      <c r="C59">
        <v>-329450.85536671802</v>
      </c>
      <c r="D59" t="s">
        <v>106</v>
      </c>
      <c r="E59">
        <v>646115.10381286498</v>
      </c>
      <c r="F59" t="s">
        <v>106</v>
      </c>
      <c r="G59" s="11" t="s">
        <v>164</v>
      </c>
      <c r="H59" s="11" t="s">
        <v>163</v>
      </c>
      <c r="I59" t="s">
        <v>54</v>
      </c>
      <c r="J59">
        <v>9.0500000000000007</v>
      </c>
      <c r="K59">
        <v>33.96</v>
      </c>
      <c r="L59" t="s">
        <v>55</v>
      </c>
      <c r="M59" s="5"/>
      <c r="N59" s="6"/>
      <c r="O59" s="21"/>
      <c r="P59" s="6"/>
      <c r="AQ59" s="5"/>
      <c r="AR59" s="6"/>
    </row>
    <row r="60" spans="1:49" ht="14.1" customHeight="1" x14ac:dyDescent="0.2">
      <c r="A60" t="s">
        <v>128</v>
      </c>
      <c r="B60">
        <v>1461126.29935535</v>
      </c>
      <c r="C60">
        <v>-330087.50289372698</v>
      </c>
      <c r="D60" t="s">
        <v>106</v>
      </c>
      <c r="E60">
        <v>646115.10381286498</v>
      </c>
      <c r="F60" t="s">
        <v>106</v>
      </c>
      <c r="G60" s="11" t="s">
        <v>164</v>
      </c>
      <c r="H60" s="11" t="s">
        <v>163</v>
      </c>
      <c r="I60" t="s">
        <v>54</v>
      </c>
      <c r="J60">
        <v>9.0500000000000007</v>
      </c>
      <c r="K60">
        <v>33.96</v>
      </c>
      <c r="L60" t="s">
        <v>55</v>
      </c>
      <c r="O60" s="21"/>
    </row>
    <row r="61" spans="1:49" ht="14.1" customHeight="1" x14ac:dyDescent="0.2">
      <c r="A61" t="s">
        <v>129</v>
      </c>
      <c r="B61">
        <v>1459428.88748133</v>
      </c>
      <c r="C61">
        <v>-328451.93498989398</v>
      </c>
      <c r="D61" t="s">
        <v>106</v>
      </c>
      <c r="E61">
        <v>646115.10381286498</v>
      </c>
      <c r="F61" t="s">
        <v>106</v>
      </c>
      <c r="G61" s="11" t="s">
        <v>164</v>
      </c>
      <c r="H61" s="11" t="s">
        <v>163</v>
      </c>
      <c r="I61" t="s">
        <v>54</v>
      </c>
      <c r="J61">
        <v>9.0500000000000007</v>
      </c>
      <c r="K61">
        <v>33.96</v>
      </c>
      <c r="L61" t="s">
        <v>55</v>
      </c>
      <c r="O61" s="21"/>
    </row>
    <row r="62" spans="1:49" ht="14.1" customHeight="1" x14ac:dyDescent="0.2">
      <c r="A62" t="s">
        <v>130</v>
      </c>
      <c r="B62">
        <v>1462124.2586956799</v>
      </c>
      <c r="C62">
        <v>-330939.56871706399</v>
      </c>
      <c r="D62" t="s">
        <v>106</v>
      </c>
      <c r="E62">
        <v>646115.10381286498</v>
      </c>
      <c r="F62" t="s">
        <v>106</v>
      </c>
      <c r="G62" s="11" t="s">
        <v>164</v>
      </c>
      <c r="H62" s="11" t="s">
        <v>163</v>
      </c>
      <c r="I62" t="s">
        <v>54</v>
      </c>
      <c r="J62">
        <v>9.0500000000000007</v>
      </c>
      <c r="K62">
        <v>33.96</v>
      </c>
      <c r="L62" t="s">
        <v>55</v>
      </c>
      <c r="O62" s="21"/>
    </row>
    <row r="63" spans="1:49" ht="14.1" customHeight="1" x14ac:dyDescent="0.2">
      <c r="A63" t="s">
        <v>131</v>
      </c>
      <c r="B63">
        <v>1459570.5018283001</v>
      </c>
      <c r="C63">
        <v>-329512.47281771799</v>
      </c>
      <c r="D63" t="s">
        <v>106</v>
      </c>
      <c r="E63">
        <v>646115.10381286498</v>
      </c>
      <c r="F63" t="s">
        <v>106</v>
      </c>
      <c r="G63" s="11" t="s">
        <v>164</v>
      </c>
      <c r="H63" s="11" t="s">
        <v>163</v>
      </c>
      <c r="I63" t="s">
        <v>54</v>
      </c>
      <c r="J63">
        <v>9.0500000000000007</v>
      </c>
      <c r="K63">
        <v>33.96</v>
      </c>
      <c r="L63" t="s">
        <v>55</v>
      </c>
      <c r="O63" s="21"/>
    </row>
    <row r="64" spans="1:49" ht="14.1" customHeight="1" x14ac:dyDescent="0.2">
      <c r="A64" t="s">
        <v>132</v>
      </c>
      <c r="B64">
        <v>1461188.31923695</v>
      </c>
      <c r="C64">
        <v>-330777.66559621901</v>
      </c>
      <c r="D64" t="s">
        <v>106</v>
      </c>
      <c r="E64">
        <v>646115.10381286498</v>
      </c>
      <c r="F64" t="s">
        <v>106</v>
      </c>
      <c r="G64" s="11" t="s">
        <v>164</v>
      </c>
      <c r="H64" s="11" t="s">
        <v>163</v>
      </c>
      <c r="I64" t="s">
        <v>54</v>
      </c>
      <c r="J64">
        <v>9.0500000000000007</v>
      </c>
      <c r="K64">
        <v>33.96</v>
      </c>
      <c r="L64" t="s">
        <v>55</v>
      </c>
      <c r="O64" s="21"/>
    </row>
    <row r="65" spans="1:15" ht="14.1" customHeight="1" x14ac:dyDescent="0.2">
      <c r="A65" t="s">
        <v>133</v>
      </c>
      <c r="B65">
        <v>1459638.60189808</v>
      </c>
      <c r="C65">
        <v>-328615.22111290798</v>
      </c>
      <c r="D65" t="s">
        <v>106</v>
      </c>
      <c r="E65">
        <v>646115.10381286498</v>
      </c>
      <c r="F65" t="s">
        <v>106</v>
      </c>
      <c r="G65" s="11" t="s">
        <v>164</v>
      </c>
      <c r="H65" s="11" t="s">
        <v>163</v>
      </c>
      <c r="I65" t="s">
        <v>54</v>
      </c>
      <c r="J65">
        <v>9.0500000000000007</v>
      </c>
      <c r="K65">
        <v>33.96</v>
      </c>
      <c r="L65" t="s">
        <v>55</v>
      </c>
      <c r="O65" s="21"/>
    </row>
    <row r="66" spans="1:15" ht="14.1" customHeight="1" x14ac:dyDescent="0.2">
      <c r="A66" t="s">
        <v>134</v>
      </c>
      <c r="B66">
        <v>1458234.7384929601</v>
      </c>
      <c r="C66">
        <v>-330010.87619965099</v>
      </c>
      <c r="D66" t="s">
        <v>106</v>
      </c>
      <c r="E66">
        <v>646115.10381286498</v>
      </c>
      <c r="F66" t="s">
        <v>106</v>
      </c>
      <c r="G66" s="11" t="s">
        <v>164</v>
      </c>
      <c r="H66" s="11" t="s">
        <v>163</v>
      </c>
      <c r="I66" t="s">
        <v>54</v>
      </c>
      <c r="J66">
        <v>9.0500000000000007</v>
      </c>
      <c r="K66">
        <v>33.96</v>
      </c>
      <c r="L66" t="s">
        <v>55</v>
      </c>
      <c r="O66" s="21"/>
    </row>
    <row r="67" spans="1:15" ht="14.1" customHeight="1" x14ac:dyDescent="0.2">
      <c r="A67" t="s">
        <v>135</v>
      </c>
      <c r="B67">
        <v>1461647.0779347401</v>
      </c>
      <c r="C67">
        <v>-330045.94937050901</v>
      </c>
      <c r="D67" t="s">
        <v>106</v>
      </c>
      <c r="E67">
        <v>646115.10381286498</v>
      </c>
      <c r="F67" t="s">
        <v>106</v>
      </c>
      <c r="G67" s="11" t="s">
        <v>164</v>
      </c>
      <c r="H67" s="11" t="s">
        <v>163</v>
      </c>
      <c r="I67" t="s">
        <v>54</v>
      </c>
      <c r="J67">
        <v>9.0500000000000007</v>
      </c>
      <c r="K67">
        <v>33.96</v>
      </c>
      <c r="L67" t="s">
        <v>55</v>
      </c>
      <c r="O67" s="21"/>
    </row>
    <row r="68" spans="1:15" ht="14.1" customHeight="1" x14ac:dyDescent="0.2">
      <c r="A68" t="s">
        <v>136</v>
      </c>
      <c r="B68">
        <v>1461742.2884984899</v>
      </c>
      <c r="C68">
        <v>-331417.54390126298</v>
      </c>
      <c r="D68" t="s">
        <v>106</v>
      </c>
      <c r="E68">
        <v>646115.10381286498</v>
      </c>
      <c r="F68" t="s">
        <v>106</v>
      </c>
      <c r="G68" s="11" t="s">
        <v>164</v>
      </c>
      <c r="H68" s="11" t="s">
        <v>163</v>
      </c>
      <c r="I68" t="s">
        <v>54</v>
      </c>
      <c r="J68">
        <v>9.0500000000000007</v>
      </c>
      <c r="K68">
        <v>33.96</v>
      </c>
      <c r="L68" t="s">
        <v>55</v>
      </c>
      <c r="O68" s="21"/>
    </row>
    <row r="69" spans="1:15" ht="14.1" customHeight="1" x14ac:dyDescent="0.2">
      <c r="A69" t="s">
        <v>137</v>
      </c>
      <c r="B69">
        <v>1461175.2208317099</v>
      </c>
      <c r="C69">
        <v>-329223.55858806701</v>
      </c>
      <c r="D69" t="s">
        <v>106</v>
      </c>
      <c r="E69">
        <v>646115.10381286498</v>
      </c>
      <c r="F69" t="s">
        <v>106</v>
      </c>
      <c r="G69" s="11" t="s">
        <v>164</v>
      </c>
      <c r="H69" s="11" t="s">
        <v>163</v>
      </c>
      <c r="I69" t="s">
        <v>54</v>
      </c>
      <c r="J69">
        <v>9.0500000000000007</v>
      </c>
      <c r="K69">
        <v>33.96</v>
      </c>
      <c r="L69" t="s">
        <v>55</v>
      </c>
      <c r="O69" s="21"/>
    </row>
    <row r="70" spans="1:15" ht="14.1" customHeight="1" x14ac:dyDescent="0.2">
      <c r="A70" t="s">
        <v>138</v>
      </c>
      <c r="B70">
        <v>1458438.2689139899</v>
      </c>
      <c r="C70">
        <v>-329652.25512148603</v>
      </c>
      <c r="D70" t="s">
        <v>106</v>
      </c>
      <c r="E70">
        <v>646115.10381286498</v>
      </c>
      <c r="F70" t="s">
        <v>106</v>
      </c>
      <c r="G70" s="11" t="s">
        <v>164</v>
      </c>
      <c r="H70" s="11" t="s">
        <v>163</v>
      </c>
      <c r="I70" t="s">
        <v>54</v>
      </c>
      <c r="J70">
        <v>9.0500000000000007</v>
      </c>
      <c r="K70">
        <v>33.96</v>
      </c>
      <c r="L70" t="s">
        <v>55</v>
      </c>
      <c r="O70" s="21"/>
    </row>
    <row r="71" spans="1:15" ht="14.1" customHeight="1" x14ac:dyDescent="0.2">
      <c r="A71" t="s">
        <v>139</v>
      </c>
      <c r="B71">
        <v>1461635.3300456901</v>
      </c>
      <c r="C71">
        <v>-329297.86201026302</v>
      </c>
      <c r="D71" t="s">
        <v>106</v>
      </c>
      <c r="E71">
        <v>646115.10381286498</v>
      </c>
      <c r="F71" t="s">
        <v>106</v>
      </c>
      <c r="G71" s="11" t="s">
        <v>164</v>
      </c>
      <c r="H71" s="11" t="s">
        <v>163</v>
      </c>
      <c r="I71" t="s">
        <v>54</v>
      </c>
      <c r="J71">
        <v>9.0500000000000007</v>
      </c>
      <c r="K71">
        <v>33.96</v>
      </c>
      <c r="L71" t="s">
        <v>55</v>
      </c>
      <c r="O71" s="21"/>
    </row>
    <row r="72" spans="1:15" ht="14.1" customHeight="1" x14ac:dyDescent="0.2">
      <c r="A72" t="s">
        <v>140</v>
      </c>
      <c r="B72">
        <v>1460210.70102928</v>
      </c>
      <c r="C72">
        <v>-329218.62914443202</v>
      </c>
      <c r="D72" t="s">
        <v>106</v>
      </c>
      <c r="E72">
        <v>646115.10381286498</v>
      </c>
      <c r="F72" t="s">
        <v>106</v>
      </c>
      <c r="G72" s="11" t="s">
        <v>164</v>
      </c>
      <c r="H72" s="11" t="s">
        <v>163</v>
      </c>
      <c r="I72" t="s">
        <v>54</v>
      </c>
      <c r="J72">
        <v>9.0500000000000007</v>
      </c>
      <c r="K72">
        <v>33.96</v>
      </c>
      <c r="L72" t="s">
        <v>55</v>
      </c>
      <c r="O72" s="21"/>
    </row>
    <row r="73" spans="1:15" ht="14.1" customHeight="1" x14ac:dyDescent="0.2">
      <c r="A73" t="s">
        <v>141</v>
      </c>
      <c r="B73">
        <v>1461503.04050983</v>
      </c>
      <c r="C73">
        <v>-328794.60014871502</v>
      </c>
      <c r="D73" t="s">
        <v>106</v>
      </c>
      <c r="E73">
        <v>646115.10381286498</v>
      </c>
      <c r="F73" t="s">
        <v>106</v>
      </c>
      <c r="G73" s="11" t="s">
        <v>164</v>
      </c>
      <c r="H73" s="11" t="s">
        <v>163</v>
      </c>
      <c r="I73" t="s">
        <v>54</v>
      </c>
      <c r="J73">
        <v>9.0500000000000007</v>
      </c>
      <c r="K73">
        <v>33.96</v>
      </c>
      <c r="L73" t="s">
        <v>55</v>
      </c>
      <c r="O73" s="21"/>
    </row>
    <row r="74" spans="1:15" ht="14.1" customHeight="1" x14ac:dyDescent="0.2">
      <c r="O74" s="21"/>
    </row>
    <row r="75" spans="1:15" x14ac:dyDescent="0.2">
      <c r="O75" s="21"/>
    </row>
    <row r="76" spans="1:15" x14ac:dyDescent="0.2">
      <c r="O76" s="21"/>
    </row>
    <row r="77" spans="1:15" x14ac:dyDescent="0.2">
      <c r="O77" s="21"/>
    </row>
    <row r="78" spans="1:15" x14ac:dyDescent="0.2">
      <c r="O78" s="21"/>
    </row>
    <row r="79" spans="1:15" x14ac:dyDescent="0.2">
      <c r="O79" s="21"/>
    </row>
    <row r="80" spans="1:15" x14ac:dyDescent="0.2">
      <c r="O80" s="21"/>
    </row>
    <row r="81" spans="1:15" x14ac:dyDescent="0.2">
      <c r="A81" t="s">
        <v>162</v>
      </c>
      <c r="B81" t="s">
        <v>142</v>
      </c>
      <c r="E81" t="s">
        <v>184</v>
      </c>
      <c r="O81" s="21"/>
    </row>
    <row r="82" spans="1:15" x14ac:dyDescent="0.2">
      <c r="A82" t="s">
        <v>162</v>
      </c>
      <c r="B82" t="s">
        <v>156</v>
      </c>
      <c r="E82" t="s">
        <v>185</v>
      </c>
      <c r="O82" s="21"/>
    </row>
    <row r="83" spans="1:15" x14ac:dyDescent="0.2">
      <c r="A83" t="s">
        <v>162</v>
      </c>
      <c r="B83" t="s">
        <v>157</v>
      </c>
      <c r="O83" s="21"/>
    </row>
    <row r="84" spans="1:15" x14ac:dyDescent="0.2">
      <c r="A84" t="s">
        <v>162</v>
      </c>
      <c r="B84" t="s">
        <v>158</v>
      </c>
      <c r="O84" s="21"/>
    </row>
    <row r="85" spans="1:15" x14ac:dyDescent="0.2">
      <c r="A85" t="s">
        <v>162</v>
      </c>
      <c r="B85" t="s">
        <v>159</v>
      </c>
      <c r="E85" t="s">
        <v>186</v>
      </c>
      <c r="O85" s="21"/>
    </row>
    <row r="86" spans="1:15" x14ac:dyDescent="0.2">
      <c r="A86" t="s">
        <v>162</v>
      </c>
      <c r="B86" t="s">
        <v>160</v>
      </c>
      <c r="O86" s="21"/>
    </row>
    <row r="87" spans="1:15" x14ac:dyDescent="0.2">
      <c r="A87" t="s">
        <v>162</v>
      </c>
      <c r="B87" t="s">
        <v>161</v>
      </c>
      <c r="O87" s="21"/>
    </row>
    <row r="88" spans="1:15" x14ac:dyDescent="0.2">
      <c r="E88" t="s">
        <v>187</v>
      </c>
      <c r="O88" s="21"/>
    </row>
    <row r="89" spans="1:15" x14ac:dyDescent="0.2">
      <c r="O89" s="21"/>
    </row>
    <row r="90" spans="1:15" x14ac:dyDescent="0.2">
      <c r="O90" s="21"/>
    </row>
    <row r="91" spans="1:15" x14ac:dyDescent="0.2">
      <c r="O91" s="21"/>
    </row>
    <row r="92" spans="1:15" x14ac:dyDescent="0.2">
      <c r="O92" s="21"/>
    </row>
    <row r="93" spans="1:15" x14ac:dyDescent="0.2">
      <c r="O93" s="21"/>
    </row>
    <row r="97" spans="1:21" s="7" customFormat="1" x14ac:dyDescent="0.2">
      <c r="B97" s="9"/>
      <c r="C97" s="9"/>
      <c r="D97" s="9"/>
      <c r="E97" s="9"/>
      <c r="F97" s="9"/>
      <c r="G97" s="9"/>
      <c r="H97" s="9"/>
      <c r="I97" s="9"/>
      <c r="J97" s="9"/>
      <c r="K97" s="9"/>
      <c r="L97" s="8"/>
      <c r="M97" s="9"/>
      <c r="N97" s="9"/>
      <c r="O97" s="9"/>
      <c r="P97" s="9"/>
      <c r="Q97" s="9"/>
      <c r="R97" s="9"/>
      <c r="S97" s="9"/>
      <c r="T97" s="9"/>
      <c r="U97" s="9"/>
    </row>
    <row r="98" spans="1:21" s="7" customFormat="1" x14ac:dyDescent="0.2"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 spans="1:21" s="7" customFormat="1" x14ac:dyDescent="0.2"/>
    <row r="100" spans="1:21" s="7" customFormat="1" x14ac:dyDescent="0.2">
      <c r="A100" s="13"/>
    </row>
    <row r="101" spans="1:21" s="7" customFormat="1" x14ac:dyDescent="0.2"/>
    <row r="102" spans="1:21" s="7" customFormat="1" x14ac:dyDescent="0.2"/>
    <row r="103" spans="1:21" s="7" customFormat="1" x14ac:dyDescent="0.2">
      <c r="U103" s="9"/>
    </row>
    <row r="104" spans="1:21" s="7" customFormat="1" x14ac:dyDescent="0.2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8"/>
      <c r="M104" s="9"/>
      <c r="N104" s="9"/>
      <c r="O104" s="9"/>
      <c r="P104" s="9"/>
      <c r="Q104" s="9"/>
      <c r="R104" s="9"/>
      <c r="S104" s="9"/>
      <c r="T104" s="9"/>
      <c r="U104" s="10"/>
    </row>
    <row r="105" spans="1:21" s="7" customFormat="1" x14ac:dyDescent="0.2"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1" s="7" customFormat="1" x14ac:dyDescent="0.2"/>
    <row r="107" spans="1:21" s="7" customFormat="1" x14ac:dyDescent="0.2">
      <c r="A107" s="13"/>
      <c r="E107" s="14"/>
      <c r="F107" s="15"/>
      <c r="G107" s="14"/>
      <c r="H107" s="15"/>
    </row>
    <row r="108" spans="1:21" s="7" customFormat="1" x14ac:dyDescent="0.2"/>
    <row r="109" spans="1:21" s="7" customFormat="1" x14ac:dyDescent="0.2"/>
    <row r="110" spans="1:21" s="7" customFormat="1" x14ac:dyDescent="0.2"/>
    <row r="111" spans="1:21" s="7" customFormat="1" x14ac:dyDescent="0.2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8"/>
      <c r="M111" s="9"/>
      <c r="N111" s="9"/>
      <c r="O111" s="9"/>
      <c r="P111" s="9"/>
      <c r="Q111" s="9"/>
      <c r="R111" s="9"/>
      <c r="S111" s="9"/>
      <c r="T111" s="9"/>
      <c r="U111" s="9"/>
    </row>
    <row r="112" spans="1:21" s="7" customFormat="1" x14ac:dyDescent="0.2"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spans="1:21" s="7" customFormat="1" x14ac:dyDescent="0.2"/>
    <row r="114" spans="1:21" s="7" customFormat="1" x14ac:dyDescent="0.2">
      <c r="A114" s="13"/>
    </row>
    <row r="115" spans="1:21" s="7" customFormat="1" x14ac:dyDescent="0.2"/>
    <row r="116" spans="1:21" s="7" customFormat="1" x14ac:dyDescent="0.2"/>
    <row r="117" spans="1:21" s="7" customFormat="1" x14ac:dyDescent="0.2"/>
    <row r="118" spans="1:21" s="7" customFormat="1" x14ac:dyDescent="0.2"/>
    <row r="119" spans="1:21" s="7" customFormat="1" x14ac:dyDescent="0.2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8"/>
      <c r="M119" s="9"/>
      <c r="N119" s="9"/>
      <c r="O119" s="9"/>
      <c r="P119" s="9"/>
      <c r="Q119" s="9"/>
      <c r="R119" s="9"/>
      <c r="S119" s="9"/>
      <c r="T119" s="9"/>
      <c r="U119" s="9"/>
    </row>
    <row r="120" spans="1:21" s="7" customFormat="1" x14ac:dyDescent="0.2"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</row>
    <row r="121" spans="1:21" s="7" customFormat="1" x14ac:dyDescent="0.2"/>
    <row r="122" spans="1:21" s="7" customFormat="1" x14ac:dyDescent="0.2">
      <c r="A122" s="13"/>
      <c r="C122" s="15"/>
      <c r="D122" s="14"/>
    </row>
    <row r="123" spans="1:21" s="7" customFormat="1" x14ac:dyDescent="0.2"/>
    <row r="124" spans="1:21" s="7" customFormat="1" x14ac:dyDescent="0.2"/>
    <row r="125" spans="1:21" s="7" customFormat="1" x14ac:dyDescent="0.2"/>
    <row r="126" spans="1:21" s="7" customFormat="1" x14ac:dyDescent="0.2"/>
    <row r="127" spans="1:21" s="7" customFormat="1" x14ac:dyDescent="0.2"/>
  </sheetData>
  <dataValidations count="2">
    <dataValidation type="list" allowBlank="1" showInputMessage="1" showErrorMessage="1" sqref="B99:Y99 B113:Y113 U105 B106:T106 V106:Y106 B121:Y121" xr:uid="{01AF9328-2B76-0940-A799-D836994A39B0}">
      <formula1>$1:$1</formula1>
    </dataValidation>
    <dataValidation type="list" allowBlank="1" showInputMessage="1" showErrorMessage="1" sqref="A100 A107 A114 A122" xr:uid="{A2BC29E6-AC94-304E-99AC-B80EF51F4181}">
      <formula1>$A$2:$A$92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5BCAE-BF03-3C46-AFA7-4B0B600ECA83}">
  <dimension ref="A1:AW159"/>
  <sheetViews>
    <sheetView workbookViewId="0">
      <selection sqref="A1:XFD5"/>
    </sheetView>
  </sheetViews>
  <sheetFormatPr defaultColWidth="11.42578125" defaultRowHeight="12.75" x14ac:dyDescent="0.2"/>
  <sheetData>
    <row r="1" spans="1:49" x14ac:dyDescent="0.2">
      <c r="A1" t="s">
        <v>180</v>
      </c>
    </row>
    <row r="2" spans="1:49" x14ac:dyDescent="0.2">
      <c r="A2" t="s">
        <v>181</v>
      </c>
    </row>
    <row r="3" spans="1:49" x14ac:dyDescent="0.2">
      <c r="A3" t="s">
        <v>182</v>
      </c>
    </row>
    <row r="5" spans="1:49" x14ac:dyDescent="0.2">
      <c r="A5" t="s">
        <v>183</v>
      </c>
    </row>
    <row r="8" spans="1:49" ht="14.1" customHeight="1" x14ac:dyDescent="0.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AE8" t="s">
        <v>30</v>
      </c>
      <c r="AF8" t="s">
        <v>31</v>
      </c>
      <c r="AG8" t="s">
        <v>32</v>
      </c>
      <c r="AH8" t="s">
        <v>33</v>
      </c>
      <c r="AI8" t="s">
        <v>34</v>
      </c>
      <c r="AJ8" t="s">
        <v>35</v>
      </c>
      <c r="AK8" t="s">
        <v>36</v>
      </c>
      <c r="AL8" t="s">
        <v>37</v>
      </c>
      <c r="AM8" t="s">
        <v>38</v>
      </c>
      <c r="AN8" t="s">
        <v>39</v>
      </c>
      <c r="AO8" t="s">
        <v>40</v>
      </c>
      <c r="AP8" t="s">
        <v>41</v>
      </c>
      <c r="AQ8" t="s">
        <v>42</v>
      </c>
      <c r="AR8" t="s">
        <v>43</v>
      </c>
      <c r="AS8" t="s">
        <v>44</v>
      </c>
      <c r="AT8" t="s">
        <v>45</v>
      </c>
      <c r="AU8" t="s">
        <v>46</v>
      </c>
      <c r="AV8" t="s">
        <v>47</v>
      </c>
      <c r="AW8" t="s">
        <v>48</v>
      </c>
    </row>
    <row r="9" spans="1:49" s="1" customFormat="1" ht="14.1" customHeight="1" x14ac:dyDescent="0.2">
      <c r="A9" s="16" t="s">
        <v>0</v>
      </c>
      <c r="B9" s="16" t="s">
        <v>1</v>
      </c>
      <c r="C9" s="16" t="s">
        <v>2</v>
      </c>
      <c r="D9" s="16" t="s">
        <v>3</v>
      </c>
      <c r="E9" s="16" t="s">
        <v>4</v>
      </c>
      <c r="F9" s="16" t="s">
        <v>5</v>
      </c>
      <c r="G9" s="16" t="s">
        <v>6</v>
      </c>
      <c r="H9" s="16" t="s">
        <v>7</v>
      </c>
      <c r="I9" s="16" t="s">
        <v>8</v>
      </c>
      <c r="J9" s="16" t="s">
        <v>9</v>
      </c>
      <c r="K9" s="16" t="s">
        <v>10</v>
      </c>
      <c r="L9" s="16" t="s">
        <v>11</v>
      </c>
      <c r="M9" s="16" t="s">
        <v>12</v>
      </c>
      <c r="N9" s="16" t="s">
        <v>13</v>
      </c>
      <c r="O9" s="16" t="s">
        <v>14</v>
      </c>
      <c r="P9" s="16" t="s">
        <v>15</v>
      </c>
      <c r="Q9" s="16" t="s">
        <v>16</v>
      </c>
      <c r="R9" s="16" t="s">
        <v>17</v>
      </c>
      <c r="S9" s="16" t="s">
        <v>18</v>
      </c>
      <c r="T9" s="16" t="s">
        <v>19</v>
      </c>
      <c r="U9" s="16" t="s">
        <v>20</v>
      </c>
      <c r="V9" s="16" t="s">
        <v>21</v>
      </c>
      <c r="W9" s="16" t="s">
        <v>22</v>
      </c>
      <c r="X9" s="16" t="s">
        <v>23</v>
      </c>
      <c r="Y9" s="16" t="s">
        <v>24</v>
      </c>
      <c r="Z9" s="16" t="s">
        <v>25</v>
      </c>
      <c r="AA9" s="16" t="s">
        <v>26</v>
      </c>
      <c r="AB9" s="16" t="s">
        <v>27</v>
      </c>
      <c r="AC9" s="16" t="s">
        <v>28</v>
      </c>
      <c r="AD9" s="16" t="s">
        <v>29</v>
      </c>
      <c r="AE9" s="16" t="s">
        <v>30</v>
      </c>
      <c r="AF9" s="16" t="s">
        <v>31</v>
      </c>
      <c r="AG9" s="16" t="s">
        <v>32</v>
      </c>
      <c r="AH9" s="16" t="s">
        <v>33</v>
      </c>
      <c r="AI9" s="16" t="s">
        <v>34</v>
      </c>
      <c r="AJ9" s="16" t="s">
        <v>35</v>
      </c>
      <c r="AK9" s="16" t="s">
        <v>36</v>
      </c>
      <c r="AL9" s="16" t="s">
        <v>37</v>
      </c>
      <c r="AM9" s="16" t="s">
        <v>38</v>
      </c>
      <c r="AN9" s="16" t="s">
        <v>39</v>
      </c>
      <c r="AO9" s="16" t="s">
        <v>40</v>
      </c>
      <c r="AP9" s="16" t="s">
        <v>41</v>
      </c>
      <c r="AQ9" s="16" t="s">
        <v>42</v>
      </c>
      <c r="AR9" s="16" t="s">
        <v>43</v>
      </c>
      <c r="AS9" s="16" t="s">
        <v>44</v>
      </c>
      <c r="AT9" s="16" t="s">
        <v>45</v>
      </c>
      <c r="AU9" s="16" t="s">
        <v>46</v>
      </c>
      <c r="AV9" s="16" t="s">
        <v>47</v>
      </c>
      <c r="AW9" s="16" t="s">
        <v>48</v>
      </c>
    </row>
    <row r="10" spans="1:49" s="1" customFormat="1" ht="14.1" customHeight="1" x14ac:dyDescent="0.2">
      <c r="A10" s="1" t="s">
        <v>49</v>
      </c>
      <c r="B10" s="1">
        <v>1473723.5634522201</v>
      </c>
      <c r="C10" s="1">
        <v>-334920.16357991501</v>
      </c>
      <c r="D10" s="1" t="s">
        <v>50</v>
      </c>
      <c r="E10" s="1">
        <v>1539862.4160863401</v>
      </c>
      <c r="F10" s="1" t="s">
        <v>51</v>
      </c>
      <c r="G10" s="1" t="s">
        <v>52</v>
      </c>
      <c r="H10" s="1" t="s">
        <v>53</v>
      </c>
      <c r="I10" s="1" t="s">
        <v>54</v>
      </c>
      <c r="J10" s="1">
        <v>6.16</v>
      </c>
      <c r="K10" s="1">
        <v>74.88</v>
      </c>
      <c r="L10" s="1" t="s">
        <v>55</v>
      </c>
      <c r="M10" s="2">
        <v>43395</v>
      </c>
      <c r="N10" s="3">
        <v>0.55069444444444449</v>
      </c>
      <c r="O10" s="4">
        <v>0.53886574074074078</v>
      </c>
      <c r="P10" s="2">
        <v>43396</v>
      </c>
      <c r="Q10" s="1">
        <v>40</v>
      </c>
      <c r="R10" s="1" t="s">
        <v>56</v>
      </c>
      <c r="S10" s="1">
        <v>5.0999999999999996</v>
      </c>
      <c r="T10" s="1">
        <v>0.1</v>
      </c>
      <c r="U10" s="1">
        <v>20.8</v>
      </c>
      <c r="V10" s="1">
        <v>85.6</v>
      </c>
      <c r="W10" s="1">
        <v>7.68</v>
      </c>
      <c r="X10" s="1">
        <v>8.4000000000000005E-2</v>
      </c>
      <c r="Y10" s="1">
        <v>7.2</v>
      </c>
      <c r="Z10" s="1" t="s">
        <v>54</v>
      </c>
      <c r="AA10" s="1">
        <v>5.3</v>
      </c>
      <c r="AB10" s="1">
        <v>11.6</v>
      </c>
      <c r="AC10" s="1">
        <v>4.5999999999999996</v>
      </c>
      <c r="AD10" s="1">
        <v>20.2</v>
      </c>
      <c r="AE10" s="1">
        <v>61.9</v>
      </c>
      <c r="AF10" s="1">
        <v>5.6</v>
      </c>
      <c r="AG10" s="1">
        <v>8.2000000000000003E-2</v>
      </c>
      <c r="AH10" s="1">
        <v>7.22</v>
      </c>
      <c r="AI10" s="1" t="s">
        <v>54</v>
      </c>
      <c r="AJ10" s="1">
        <v>9.6</v>
      </c>
      <c r="AK10" s="1">
        <v>9.8000000000000007</v>
      </c>
      <c r="AM10" s="11" t="s">
        <v>153</v>
      </c>
      <c r="AN10" s="11">
        <v>115</v>
      </c>
      <c r="AO10" s="11">
        <v>25</v>
      </c>
      <c r="AP10" s="11" t="s">
        <v>54</v>
      </c>
      <c r="AQ10" s="2">
        <v>43396</v>
      </c>
      <c r="AR10" s="3">
        <v>0.53263888888888888</v>
      </c>
      <c r="AS10" s="1">
        <v>1</v>
      </c>
      <c r="AT10" s="1" t="s">
        <v>54</v>
      </c>
      <c r="AU10" s="1" t="s">
        <v>54</v>
      </c>
      <c r="AV10" s="1">
        <v>36.002119999999998</v>
      </c>
      <c r="AW10" s="1">
        <v>78.634477000000004</v>
      </c>
    </row>
    <row r="11" spans="1:49" s="1" customFormat="1" ht="14.1" customHeight="1" x14ac:dyDescent="0.2">
      <c r="A11" s="16" t="s">
        <v>49</v>
      </c>
      <c r="B11" s="16">
        <v>1473723.5634522201</v>
      </c>
      <c r="C11" s="16">
        <v>-334920.16357991501</v>
      </c>
      <c r="D11" s="16" t="s">
        <v>50</v>
      </c>
      <c r="E11" s="16">
        <v>1539862.4160863401</v>
      </c>
      <c r="F11" s="16" t="s">
        <v>51</v>
      </c>
      <c r="G11" s="16" t="s">
        <v>52</v>
      </c>
      <c r="H11" s="16" t="s">
        <v>53</v>
      </c>
      <c r="I11" s="16" t="s">
        <v>54</v>
      </c>
      <c r="J11" s="16">
        <v>6.16</v>
      </c>
      <c r="K11" s="16">
        <v>74.88</v>
      </c>
      <c r="L11" s="16" t="s">
        <v>55</v>
      </c>
      <c r="M11" s="17">
        <v>43395</v>
      </c>
      <c r="N11" s="18">
        <v>0.55069444444444449</v>
      </c>
      <c r="O11" s="19">
        <v>0.53886574074074078</v>
      </c>
      <c r="P11" s="17">
        <v>43396</v>
      </c>
      <c r="Q11" s="16">
        <v>40</v>
      </c>
      <c r="R11" s="16" t="s">
        <v>56</v>
      </c>
      <c r="S11" s="16">
        <v>5.0999999999999996</v>
      </c>
      <c r="T11" s="16">
        <v>0.1</v>
      </c>
      <c r="U11" s="16">
        <v>20.8</v>
      </c>
      <c r="V11" s="16">
        <v>85.6</v>
      </c>
      <c r="W11" s="16">
        <v>7.68</v>
      </c>
      <c r="X11" s="16">
        <v>8.4000000000000005E-2</v>
      </c>
      <c r="Y11" s="16">
        <v>7.2</v>
      </c>
      <c r="Z11" s="16" t="s">
        <v>54</v>
      </c>
      <c r="AA11" s="16">
        <v>5.3</v>
      </c>
      <c r="AB11" s="16">
        <v>11.6</v>
      </c>
      <c r="AC11" s="16">
        <v>4.5999999999999996</v>
      </c>
      <c r="AD11" s="16">
        <v>20.2</v>
      </c>
      <c r="AE11" s="16">
        <v>61.9</v>
      </c>
      <c r="AF11" s="16">
        <v>5.6</v>
      </c>
      <c r="AG11" s="16">
        <v>8.2000000000000003E-2</v>
      </c>
      <c r="AH11" s="16">
        <v>7.22</v>
      </c>
      <c r="AI11" s="16" t="s">
        <v>54</v>
      </c>
      <c r="AJ11" s="16">
        <v>9.6</v>
      </c>
      <c r="AK11" s="16">
        <v>9.8000000000000007</v>
      </c>
      <c r="AL11" s="16"/>
      <c r="AM11" s="16" t="s">
        <v>165</v>
      </c>
      <c r="AN11" s="16"/>
      <c r="AO11" s="16">
        <v>115</v>
      </c>
      <c r="AP11" s="16">
        <v>25</v>
      </c>
      <c r="AQ11" s="17">
        <v>43396</v>
      </c>
      <c r="AR11" s="18">
        <v>0.53263888888888888</v>
      </c>
      <c r="AS11" s="16">
        <v>1</v>
      </c>
      <c r="AT11" s="16" t="s">
        <v>54</v>
      </c>
      <c r="AU11" s="16" t="s">
        <v>54</v>
      </c>
      <c r="AV11" s="16">
        <v>36.002119999999998</v>
      </c>
      <c r="AW11" s="16">
        <v>78.634477000000004</v>
      </c>
    </row>
    <row r="12" spans="1:49" s="1" customFormat="1" ht="14.1" customHeight="1" x14ac:dyDescent="0.2">
      <c r="A12" s="1" t="s">
        <v>57</v>
      </c>
      <c r="B12" s="1">
        <v>1478072.3967247601</v>
      </c>
      <c r="C12" s="1">
        <v>-337204.35121270397</v>
      </c>
      <c r="D12" s="1" t="s">
        <v>58</v>
      </c>
      <c r="E12" s="1">
        <v>1714544.6322379201</v>
      </c>
      <c r="F12" s="1" t="s">
        <v>51</v>
      </c>
      <c r="G12" s="1" t="s">
        <v>52</v>
      </c>
      <c r="H12" s="1" t="s">
        <v>53</v>
      </c>
      <c r="I12" s="1" t="s">
        <v>54</v>
      </c>
      <c r="J12" s="1">
        <v>6.86</v>
      </c>
      <c r="K12" s="1">
        <v>68.05</v>
      </c>
      <c r="L12" s="1" t="s">
        <v>55</v>
      </c>
      <c r="M12" s="2">
        <v>43395</v>
      </c>
      <c r="N12" s="3">
        <v>0.58680555555555558</v>
      </c>
      <c r="O12" s="3">
        <v>0.59179398148148155</v>
      </c>
      <c r="P12" s="2">
        <v>43396</v>
      </c>
      <c r="Q12" s="1">
        <v>40</v>
      </c>
      <c r="R12" s="1" t="s">
        <v>56</v>
      </c>
      <c r="S12" s="1">
        <v>3.7</v>
      </c>
      <c r="T12" s="1">
        <v>0.1</v>
      </c>
      <c r="U12" s="1">
        <v>21.1</v>
      </c>
      <c r="V12" s="1">
        <v>99.6</v>
      </c>
      <c r="W12" s="1">
        <v>8.85</v>
      </c>
      <c r="X12" s="1">
        <v>9.1999999999999998E-2</v>
      </c>
      <c r="Y12" s="1">
        <v>7.3</v>
      </c>
      <c r="Z12" s="1" t="s">
        <v>54</v>
      </c>
      <c r="AA12" s="1">
        <v>5.6</v>
      </c>
      <c r="AB12" s="1">
        <v>8.6999999999999993</v>
      </c>
      <c r="AC12" s="1">
        <v>3.2</v>
      </c>
      <c r="AD12" s="1">
        <v>19.3</v>
      </c>
      <c r="AE12" s="1">
        <v>95.8</v>
      </c>
      <c r="AF12" s="1">
        <v>8.6</v>
      </c>
      <c r="AG12" s="1">
        <v>9.2999999999999999E-2</v>
      </c>
      <c r="AH12" s="1">
        <v>7.11</v>
      </c>
      <c r="AI12" s="1" t="s">
        <v>54</v>
      </c>
      <c r="AJ12" s="1">
        <v>6.5</v>
      </c>
      <c r="AK12" s="1">
        <v>8.5</v>
      </c>
      <c r="AL12" s="11" t="s">
        <v>154</v>
      </c>
      <c r="AM12" s="11" t="s">
        <v>152</v>
      </c>
      <c r="AN12" s="11">
        <v>115</v>
      </c>
      <c r="AO12" s="11">
        <v>25</v>
      </c>
      <c r="AP12" s="11" t="s">
        <v>54</v>
      </c>
      <c r="AQ12" s="2">
        <v>43396</v>
      </c>
      <c r="AR12" s="3">
        <v>0.58333333333333337</v>
      </c>
      <c r="AS12" s="1">
        <v>13</v>
      </c>
      <c r="AT12" s="1" t="s">
        <v>54</v>
      </c>
      <c r="AU12" s="1" t="s">
        <v>54</v>
      </c>
      <c r="AV12" s="1">
        <v>35.976379999999999</v>
      </c>
      <c r="AW12" s="1">
        <v>78.588947000000005</v>
      </c>
    </row>
    <row r="13" spans="1:49" s="1" customFormat="1" ht="14.1" customHeight="1" x14ac:dyDescent="0.2">
      <c r="A13" s="16" t="s">
        <v>57</v>
      </c>
      <c r="B13" s="16">
        <v>1478072.3967247601</v>
      </c>
      <c r="C13" s="16">
        <v>-337204.35121270397</v>
      </c>
      <c r="D13" s="16" t="s">
        <v>58</v>
      </c>
      <c r="E13" s="16">
        <v>1714544.6322379201</v>
      </c>
      <c r="F13" s="16" t="s">
        <v>51</v>
      </c>
      <c r="G13" s="16" t="s">
        <v>52</v>
      </c>
      <c r="H13" s="16" t="s">
        <v>53</v>
      </c>
      <c r="I13" s="16" t="s">
        <v>54</v>
      </c>
      <c r="J13" s="16">
        <v>6.86</v>
      </c>
      <c r="K13" s="16">
        <v>68.05</v>
      </c>
      <c r="L13" s="16" t="s">
        <v>55</v>
      </c>
      <c r="M13" s="17">
        <v>43395</v>
      </c>
      <c r="N13" s="18">
        <v>0.58680555555555558</v>
      </c>
      <c r="O13" s="18">
        <v>0.59179398148148155</v>
      </c>
      <c r="P13" s="17">
        <v>43396</v>
      </c>
      <c r="Q13" s="16">
        <v>40</v>
      </c>
      <c r="R13" s="16" t="s">
        <v>56</v>
      </c>
      <c r="S13" s="16">
        <v>3.7</v>
      </c>
      <c r="T13" s="16">
        <v>0.1</v>
      </c>
      <c r="U13" s="16">
        <v>21.1</v>
      </c>
      <c r="V13" s="16">
        <v>99.6</v>
      </c>
      <c r="W13" s="16">
        <v>8.85</v>
      </c>
      <c r="X13" s="16">
        <v>9.1999999999999998E-2</v>
      </c>
      <c r="Y13" s="16">
        <v>7.3</v>
      </c>
      <c r="Z13" s="16" t="s">
        <v>54</v>
      </c>
      <c r="AA13" s="16">
        <v>5.6</v>
      </c>
      <c r="AB13" s="16">
        <v>8.6999999999999993</v>
      </c>
      <c r="AC13" s="16">
        <v>3.2</v>
      </c>
      <c r="AD13" s="16">
        <v>19.3</v>
      </c>
      <c r="AE13" s="16">
        <v>95.8</v>
      </c>
      <c r="AF13" s="16">
        <v>8.6</v>
      </c>
      <c r="AG13" s="16">
        <v>9.2999999999999999E-2</v>
      </c>
      <c r="AH13" s="16">
        <v>7.11</v>
      </c>
      <c r="AI13" s="16" t="s">
        <v>54</v>
      </c>
      <c r="AJ13" s="16">
        <v>6.5</v>
      </c>
      <c r="AK13" s="16">
        <v>8.5</v>
      </c>
      <c r="AL13" s="16" t="s">
        <v>166</v>
      </c>
      <c r="AM13" s="16" t="s">
        <v>167</v>
      </c>
      <c r="AN13" s="16"/>
      <c r="AO13" s="16">
        <v>115</v>
      </c>
      <c r="AP13" s="16">
        <v>25</v>
      </c>
      <c r="AQ13" s="17">
        <v>43396</v>
      </c>
      <c r="AR13" s="18">
        <v>0.58333333333333337</v>
      </c>
      <c r="AS13" s="16">
        <v>13</v>
      </c>
      <c r="AT13" s="16" t="s">
        <v>54</v>
      </c>
      <c r="AU13" s="16" t="s">
        <v>54</v>
      </c>
      <c r="AV13" s="16">
        <v>35.976379999999999</v>
      </c>
      <c r="AW13" s="16">
        <v>78.588947000000005</v>
      </c>
    </row>
    <row r="14" spans="1:49" ht="14.1" customHeight="1" x14ac:dyDescent="0.2">
      <c r="A14" s="1" t="s">
        <v>59</v>
      </c>
      <c r="B14" s="1">
        <v>1464387.0676538299</v>
      </c>
      <c r="C14" s="1">
        <v>-332897.97117518802</v>
      </c>
      <c r="D14" s="1" t="s">
        <v>60</v>
      </c>
      <c r="E14" s="1">
        <v>2431945.9785411698</v>
      </c>
      <c r="F14" s="1" t="s">
        <v>51</v>
      </c>
      <c r="G14" s="1" t="s">
        <v>52</v>
      </c>
      <c r="H14" s="1" t="s">
        <v>53</v>
      </c>
      <c r="I14" s="1" t="s">
        <v>54</v>
      </c>
      <c r="J14" s="1">
        <v>9.73</v>
      </c>
      <c r="K14" s="1">
        <v>34.1</v>
      </c>
      <c r="L14" s="1" t="s">
        <v>55</v>
      </c>
      <c r="M14" s="2">
        <v>43395</v>
      </c>
      <c r="N14" s="3">
        <v>0.49027777777777781</v>
      </c>
      <c r="O14" s="4">
        <v>0.48932870370370374</v>
      </c>
      <c r="P14" s="2">
        <v>43396</v>
      </c>
      <c r="Q14" s="1">
        <v>40</v>
      </c>
      <c r="R14" s="1" t="s">
        <v>56</v>
      </c>
      <c r="S14" s="1">
        <v>1.5</v>
      </c>
      <c r="T14" s="1">
        <v>0.1</v>
      </c>
      <c r="U14" s="1">
        <v>18.399999999999999</v>
      </c>
      <c r="V14" s="1">
        <v>109</v>
      </c>
      <c r="W14" s="1">
        <v>10.25</v>
      </c>
      <c r="X14" s="1">
        <v>8.1000000000000003E-2</v>
      </c>
      <c r="Y14" s="1">
        <v>7.5</v>
      </c>
      <c r="Z14" s="1" t="s">
        <v>54</v>
      </c>
      <c r="AA14" s="1">
        <v>8.9</v>
      </c>
      <c r="AB14" s="1">
        <v>19.399999999999999</v>
      </c>
      <c r="AC14" s="1">
        <v>1</v>
      </c>
      <c r="AD14" s="1">
        <v>17.3</v>
      </c>
      <c r="AE14" s="1">
        <v>99.4</v>
      </c>
      <c r="AF14" s="1">
        <v>9.6</v>
      </c>
      <c r="AG14" s="1">
        <v>8.1000000000000003E-2</v>
      </c>
      <c r="AH14" s="1">
        <v>7.51</v>
      </c>
      <c r="AI14" s="1" t="s">
        <v>54</v>
      </c>
      <c r="AJ14" s="1">
        <v>11</v>
      </c>
      <c r="AK14" s="1">
        <v>22</v>
      </c>
      <c r="AL14" s="1"/>
      <c r="AM14" s="11" t="s">
        <v>61</v>
      </c>
      <c r="AN14" s="11">
        <v>115</v>
      </c>
      <c r="AO14" s="11">
        <v>25</v>
      </c>
      <c r="AP14" s="11" t="s">
        <v>54</v>
      </c>
      <c r="AQ14" s="2">
        <v>43396</v>
      </c>
      <c r="AR14" s="3">
        <v>0.48888888888888887</v>
      </c>
      <c r="AS14" s="1">
        <v>0.5</v>
      </c>
      <c r="AT14" s="1" t="s">
        <v>54</v>
      </c>
      <c r="AU14" s="1" t="s">
        <v>54</v>
      </c>
      <c r="AV14" s="1">
        <v>36.032482999999999</v>
      </c>
      <c r="AW14" s="1">
        <v>78.736996000000005</v>
      </c>
    </row>
    <row r="15" spans="1:49" s="1" customFormat="1" ht="14.1" customHeight="1" x14ac:dyDescent="0.2">
      <c r="A15" s="16" t="s">
        <v>59</v>
      </c>
      <c r="B15" s="16">
        <v>1464387.0676538299</v>
      </c>
      <c r="C15" s="16">
        <v>-332897.97117518802</v>
      </c>
      <c r="D15" s="16" t="s">
        <v>60</v>
      </c>
      <c r="E15" s="16">
        <v>2431945.9785411698</v>
      </c>
      <c r="F15" s="16" t="s">
        <v>51</v>
      </c>
      <c r="G15" s="16" t="s">
        <v>52</v>
      </c>
      <c r="H15" s="16" t="s">
        <v>53</v>
      </c>
      <c r="I15" s="16" t="s">
        <v>54</v>
      </c>
      <c r="J15" s="16">
        <v>9.73</v>
      </c>
      <c r="K15" s="16">
        <v>34.1</v>
      </c>
      <c r="L15" s="16" t="s">
        <v>55</v>
      </c>
      <c r="M15" s="17">
        <v>43395</v>
      </c>
      <c r="N15" s="18">
        <v>0.49027777777777781</v>
      </c>
      <c r="O15" s="19">
        <v>0.48932870370370374</v>
      </c>
      <c r="P15" s="17">
        <v>43396</v>
      </c>
      <c r="Q15" s="16">
        <v>40</v>
      </c>
      <c r="R15" s="16" t="s">
        <v>56</v>
      </c>
      <c r="S15" s="16">
        <v>1.5</v>
      </c>
      <c r="T15" s="16">
        <v>0.1</v>
      </c>
      <c r="U15" s="16">
        <v>18.399999999999999</v>
      </c>
      <c r="V15" s="16">
        <v>109</v>
      </c>
      <c r="W15" s="16">
        <v>10.25</v>
      </c>
      <c r="X15" s="16">
        <v>8.1000000000000003E-2</v>
      </c>
      <c r="Y15" s="16">
        <v>7.5</v>
      </c>
      <c r="Z15" s="16" t="s">
        <v>54</v>
      </c>
      <c r="AA15" s="16">
        <v>8.9</v>
      </c>
      <c r="AB15" s="16">
        <v>19.399999999999999</v>
      </c>
      <c r="AC15" s="16">
        <v>1</v>
      </c>
      <c r="AD15" s="16">
        <v>17.3</v>
      </c>
      <c r="AE15" s="16">
        <v>99.4</v>
      </c>
      <c r="AF15" s="16">
        <v>9.6</v>
      </c>
      <c r="AG15" s="16">
        <v>8.1000000000000003E-2</v>
      </c>
      <c r="AH15" s="16">
        <v>7.51</v>
      </c>
      <c r="AI15" s="16" t="s">
        <v>54</v>
      </c>
      <c r="AJ15" s="16">
        <v>11</v>
      </c>
      <c r="AK15" s="16">
        <v>22</v>
      </c>
      <c r="AL15" s="16"/>
      <c r="AM15" s="16" t="s">
        <v>61</v>
      </c>
      <c r="AN15" s="16"/>
      <c r="AO15" s="16">
        <v>115</v>
      </c>
      <c r="AP15" s="16">
        <v>25</v>
      </c>
      <c r="AQ15" s="17">
        <v>43396</v>
      </c>
      <c r="AR15" s="18">
        <v>0.48888888888888887</v>
      </c>
      <c r="AS15" s="16">
        <v>0.5</v>
      </c>
      <c r="AT15" s="16" t="s">
        <v>54</v>
      </c>
      <c r="AU15" s="16" t="s">
        <v>54</v>
      </c>
      <c r="AV15" s="16">
        <v>36.032482999999999</v>
      </c>
      <c r="AW15" s="16">
        <v>78.736996000000005</v>
      </c>
    </row>
    <row r="16" spans="1:49" s="1" customFormat="1" ht="14.1" customHeight="1" x14ac:dyDescent="0.2">
      <c r="A16" s="1" t="s">
        <v>62</v>
      </c>
      <c r="B16" s="1">
        <v>1462854.58357074</v>
      </c>
      <c r="C16" s="1">
        <v>-335718.99256756902</v>
      </c>
      <c r="D16" s="1" t="s">
        <v>60</v>
      </c>
      <c r="E16" s="1">
        <v>2431945.9785411698</v>
      </c>
      <c r="F16" s="1" t="s">
        <v>51</v>
      </c>
      <c r="G16" s="1" t="s">
        <v>52</v>
      </c>
      <c r="H16" s="1" t="s">
        <v>53</v>
      </c>
      <c r="I16" s="1" t="s">
        <v>54</v>
      </c>
      <c r="J16" s="1">
        <v>9.73</v>
      </c>
      <c r="K16" s="1">
        <v>34.1</v>
      </c>
      <c r="L16" s="1" t="s">
        <v>55</v>
      </c>
      <c r="M16" s="2">
        <v>43395</v>
      </c>
      <c r="N16" s="3">
        <v>0.47569444444444442</v>
      </c>
      <c r="O16" s="4">
        <v>0.46666666666666662</v>
      </c>
      <c r="P16" s="2">
        <v>43396</v>
      </c>
      <c r="Q16" s="1">
        <v>40</v>
      </c>
      <c r="R16" s="1" t="s">
        <v>56</v>
      </c>
      <c r="S16" s="1">
        <v>1.2</v>
      </c>
      <c r="T16" s="1">
        <v>0.1</v>
      </c>
      <c r="U16" s="1">
        <v>18</v>
      </c>
      <c r="V16" s="1">
        <v>108.2</v>
      </c>
      <c r="W16" s="1">
        <v>10.24</v>
      </c>
      <c r="X16" s="1">
        <v>8.2000000000000003E-2</v>
      </c>
      <c r="Y16" s="1">
        <v>7.42</v>
      </c>
      <c r="Z16" s="1" t="s">
        <v>54</v>
      </c>
      <c r="AA16" s="1">
        <v>10.5</v>
      </c>
      <c r="AB16" s="1">
        <v>18.399999999999999</v>
      </c>
      <c r="AC16" s="11">
        <v>0.7</v>
      </c>
      <c r="AD16" s="11">
        <v>17.7</v>
      </c>
      <c r="AE16" s="11">
        <v>104.7</v>
      </c>
      <c r="AF16" s="11">
        <v>9.98</v>
      </c>
      <c r="AG16" s="11">
        <v>0.08</v>
      </c>
      <c r="AH16" s="1">
        <v>7.47</v>
      </c>
      <c r="AI16" s="1" t="s">
        <v>54</v>
      </c>
      <c r="AJ16" s="1">
        <v>13.8</v>
      </c>
      <c r="AK16" s="1">
        <v>22.5</v>
      </c>
      <c r="AM16" s="11" t="s">
        <v>151</v>
      </c>
      <c r="AN16" s="11">
        <v>115</v>
      </c>
      <c r="AO16" s="11">
        <v>25</v>
      </c>
      <c r="AP16" s="11" t="s">
        <v>54</v>
      </c>
      <c r="AQ16" s="2">
        <v>43396</v>
      </c>
      <c r="AR16" s="3">
        <v>0.4604166666666667</v>
      </c>
      <c r="AS16" s="1">
        <v>0.5</v>
      </c>
      <c r="AT16" s="1" t="s">
        <v>54</v>
      </c>
      <c r="AU16" s="1" t="s">
        <v>54</v>
      </c>
      <c r="AV16" s="1">
        <v>36.012138</v>
      </c>
      <c r="AW16" s="1">
        <v>78.761055999999996</v>
      </c>
    </row>
    <row r="17" spans="1:49" ht="14.1" customHeight="1" x14ac:dyDescent="0.2">
      <c r="A17" s="16" t="s">
        <v>62</v>
      </c>
      <c r="B17" s="16">
        <v>1462854.58357074</v>
      </c>
      <c r="C17" s="16">
        <v>-335718.99256756902</v>
      </c>
      <c r="D17" s="16" t="s">
        <v>60</v>
      </c>
      <c r="E17" s="16">
        <v>2431945.9785411698</v>
      </c>
      <c r="F17" s="16" t="s">
        <v>51</v>
      </c>
      <c r="G17" s="16" t="s">
        <v>52</v>
      </c>
      <c r="H17" s="16" t="s">
        <v>53</v>
      </c>
      <c r="I17" s="16" t="s">
        <v>54</v>
      </c>
      <c r="J17" s="16">
        <v>9.73</v>
      </c>
      <c r="K17" s="16">
        <v>34.1</v>
      </c>
      <c r="L17" s="16" t="s">
        <v>55</v>
      </c>
      <c r="M17" s="17">
        <v>43395</v>
      </c>
      <c r="N17" s="18">
        <v>0.47569444444444442</v>
      </c>
      <c r="O17" s="19">
        <v>0.46666666666666662</v>
      </c>
      <c r="P17" s="17">
        <v>43396</v>
      </c>
      <c r="Q17" s="16">
        <v>40</v>
      </c>
      <c r="R17" s="16" t="s">
        <v>56</v>
      </c>
      <c r="S17" s="16">
        <v>1.2</v>
      </c>
      <c r="T17" s="16">
        <v>0.1</v>
      </c>
      <c r="U17" s="16">
        <v>18</v>
      </c>
      <c r="V17" s="16">
        <v>108.2</v>
      </c>
      <c r="W17" s="16">
        <v>10.24</v>
      </c>
      <c r="X17" s="16">
        <v>8.2000000000000003E-2</v>
      </c>
      <c r="Y17" s="16">
        <v>7.42</v>
      </c>
      <c r="Z17" s="16" t="s">
        <v>54</v>
      </c>
      <c r="AA17" s="16">
        <v>10.5</v>
      </c>
      <c r="AB17" s="16">
        <v>18.399999999999999</v>
      </c>
      <c r="AC17" s="16"/>
      <c r="AD17" s="16">
        <v>0.7</v>
      </c>
      <c r="AE17" s="16">
        <v>17.7</v>
      </c>
      <c r="AF17" s="16">
        <v>104.7</v>
      </c>
      <c r="AG17" s="16">
        <v>9.98</v>
      </c>
      <c r="AH17" s="16">
        <v>7.47</v>
      </c>
      <c r="AI17" s="16" t="s">
        <v>54</v>
      </c>
      <c r="AJ17" s="16">
        <v>13.8</v>
      </c>
      <c r="AK17" s="16">
        <v>22.5</v>
      </c>
      <c r="AL17" s="16"/>
      <c r="AM17" s="16" t="s">
        <v>168</v>
      </c>
      <c r="AN17" s="16"/>
      <c r="AO17" s="16">
        <v>115</v>
      </c>
      <c r="AP17" s="16">
        <v>25</v>
      </c>
      <c r="AQ17" s="17">
        <v>43396</v>
      </c>
      <c r="AR17" s="18">
        <v>0.4604166666666667</v>
      </c>
      <c r="AS17" s="16">
        <v>0.5</v>
      </c>
      <c r="AT17" s="16" t="s">
        <v>54</v>
      </c>
      <c r="AU17" s="16" t="s">
        <v>54</v>
      </c>
      <c r="AV17" s="16">
        <v>36.012138</v>
      </c>
      <c r="AW17" s="16">
        <v>78.761055999999996</v>
      </c>
    </row>
    <row r="18" spans="1:49" s="1" customFormat="1" ht="14.1" customHeight="1" x14ac:dyDescent="0.2">
      <c r="A18" s="1" t="s">
        <v>63</v>
      </c>
      <c r="B18" s="1">
        <v>1475475.3988174601</v>
      </c>
      <c r="C18" s="1">
        <v>-338391.54240757501</v>
      </c>
      <c r="D18" s="1" t="s">
        <v>58</v>
      </c>
      <c r="E18" s="1">
        <v>1714544.6322379201</v>
      </c>
      <c r="F18" s="1" t="s">
        <v>51</v>
      </c>
      <c r="G18" s="1" t="s">
        <v>52</v>
      </c>
      <c r="H18" s="1" t="s">
        <v>53</v>
      </c>
      <c r="I18" s="1" t="s">
        <v>54</v>
      </c>
      <c r="J18" s="1">
        <v>6.86</v>
      </c>
      <c r="K18" s="1">
        <v>68.05</v>
      </c>
      <c r="L18" s="1" t="s">
        <v>55</v>
      </c>
      <c r="M18" s="2">
        <v>43395</v>
      </c>
      <c r="N18" s="3">
        <v>0.57777777777777783</v>
      </c>
      <c r="O18" s="3">
        <v>0.58124999999999993</v>
      </c>
      <c r="P18" s="2">
        <v>43396</v>
      </c>
      <c r="Q18" s="1">
        <v>40</v>
      </c>
      <c r="R18" s="1" t="s">
        <v>56</v>
      </c>
      <c r="S18" s="1">
        <v>4.5999999999999996</v>
      </c>
      <c r="T18" s="1">
        <v>0.1</v>
      </c>
      <c r="U18" s="1">
        <v>21.2</v>
      </c>
      <c r="V18" s="1">
        <v>80.900000000000006</v>
      </c>
      <c r="W18" s="1">
        <v>7.18</v>
      </c>
      <c r="X18" s="1">
        <v>8.3000000000000004E-2</v>
      </c>
      <c r="Y18" s="1">
        <v>7.29</v>
      </c>
      <c r="Z18" s="1" t="s">
        <v>54</v>
      </c>
      <c r="AA18" s="1">
        <v>6.5</v>
      </c>
      <c r="AB18" s="1">
        <v>12</v>
      </c>
      <c r="AC18" s="1">
        <v>4.0999999999999996</v>
      </c>
      <c r="AD18" s="1">
        <v>20.6</v>
      </c>
      <c r="AE18" s="1">
        <v>59.3</v>
      </c>
      <c r="AF18" s="1">
        <v>5.35</v>
      </c>
      <c r="AG18" s="1">
        <v>8.3000000000000004E-2</v>
      </c>
      <c r="AH18" s="1">
        <v>7.26</v>
      </c>
      <c r="AI18" s="1" t="s">
        <v>54</v>
      </c>
      <c r="AJ18" s="1">
        <v>8</v>
      </c>
      <c r="AK18" s="1">
        <v>8.6</v>
      </c>
      <c r="AM18" s="11" t="s">
        <v>150</v>
      </c>
      <c r="AN18" s="11">
        <v>115</v>
      </c>
      <c r="AO18" s="11">
        <v>25</v>
      </c>
      <c r="AP18" s="11" t="s">
        <v>54</v>
      </c>
      <c r="AQ18" s="2">
        <v>43396</v>
      </c>
      <c r="AR18" s="3">
        <v>0.57430555555555551</v>
      </c>
      <c r="AS18" s="1">
        <v>0.5</v>
      </c>
      <c r="AT18" s="1" t="s">
        <v>54</v>
      </c>
      <c r="AU18" s="1" t="s">
        <v>54</v>
      </c>
      <c r="AV18" s="1">
        <v>35.970052000000003</v>
      </c>
      <c r="AW18" s="1">
        <v>78.621270999999993</v>
      </c>
    </row>
    <row r="19" spans="1:49" s="1" customFormat="1" ht="14.1" customHeight="1" x14ac:dyDescent="0.2">
      <c r="A19" s="16" t="s">
        <v>63</v>
      </c>
      <c r="B19" s="16">
        <v>1475475.3988174601</v>
      </c>
      <c r="C19" s="16">
        <v>-338391.54240757501</v>
      </c>
      <c r="D19" s="16" t="s">
        <v>58</v>
      </c>
      <c r="E19" s="16">
        <v>1714544.6322379201</v>
      </c>
      <c r="F19" s="16" t="s">
        <v>51</v>
      </c>
      <c r="G19" s="16" t="s">
        <v>52</v>
      </c>
      <c r="H19" s="16" t="s">
        <v>53</v>
      </c>
      <c r="I19" s="16" t="s">
        <v>54</v>
      </c>
      <c r="J19" s="16">
        <v>6.86</v>
      </c>
      <c r="K19" s="16">
        <v>68.05</v>
      </c>
      <c r="L19" s="16" t="s">
        <v>55</v>
      </c>
      <c r="M19" s="17">
        <v>43395</v>
      </c>
      <c r="N19" s="18">
        <v>0.57777777777777783</v>
      </c>
      <c r="O19" s="18">
        <v>0.58124999999999993</v>
      </c>
      <c r="P19" s="17">
        <v>43396</v>
      </c>
      <c r="Q19" s="16">
        <v>40</v>
      </c>
      <c r="R19" s="16" t="s">
        <v>56</v>
      </c>
      <c r="S19" s="16">
        <v>4.5999999999999996</v>
      </c>
      <c r="T19" s="16">
        <v>0.1</v>
      </c>
      <c r="U19" s="16">
        <v>21.2</v>
      </c>
      <c r="V19" s="16">
        <v>80.900000000000006</v>
      </c>
      <c r="W19" s="16">
        <v>7.18</v>
      </c>
      <c r="X19" s="16">
        <v>8.3000000000000004E-2</v>
      </c>
      <c r="Y19" s="16">
        <v>7.29</v>
      </c>
      <c r="Z19" s="16" t="s">
        <v>54</v>
      </c>
      <c r="AA19" s="16">
        <v>6.5</v>
      </c>
      <c r="AB19" s="16">
        <v>12</v>
      </c>
      <c r="AC19" s="16">
        <v>4.0999999999999996</v>
      </c>
      <c r="AD19" s="16">
        <v>20.6</v>
      </c>
      <c r="AE19" s="16">
        <v>59.3</v>
      </c>
      <c r="AF19" s="16">
        <v>5.35</v>
      </c>
      <c r="AG19" s="16">
        <v>8.3000000000000004E-2</v>
      </c>
      <c r="AH19" s="16">
        <v>7.26</v>
      </c>
      <c r="AI19" s="16" t="s">
        <v>54</v>
      </c>
      <c r="AJ19" s="16">
        <v>8</v>
      </c>
      <c r="AK19" s="16">
        <v>8.6</v>
      </c>
      <c r="AL19" s="16"/>
      <c r="AM19" s="16" t="s">
        <v>169</v>
      </c>
      <c r="AN19" s="16"/>
      <c r="AO19" s="16">
        <v>115</v>
      </c>
      <c r="AP19" s="16">
        <v>25</v>
      </c>
      <c r="AQ19" s="17">
        <v>43396</v>
      </c>
      <c r="AR19" s="18">
        <v>0.57430555555555551</v>
      </c>
      <c r="AS19" s="16">
        <v>0.5</v>
      </c>
      <c r="AT19" s="16" t="s">
        <v>54</v>
      </c>
      <c r="AU19" s="16" t="s">
        <v>54</v>
      </c>
      <c r="AV19" s="16">
        <v>35.970052000000003</v>
      </c>
      <c r="AW19" s="16">
        <v>78.621270999999993</v>
      </c>
    </row>
    <row r="20" spans="1:49" s="1" customFormat="1" ht="14.1" customHeight="1" x14ac:dyDescent="0.2">
      <c r="A20" t="s">
        <v>64</v>
      </c>
      <c r="B20">
        <v>1477918.11011576</v>
      </c>
      <c r="C20">
        <v>-336606.27869524597</v>
      </c>
      <c r="D20" t="s">
        <v>58</v>
      </c>
      <c r="E20">
        <v>1714544.6322379201</v>
      </c>
      <c r="F20" t="s">
        <v>51</v>
      </c>
      <c r="G20" t="s">
        <v>52</v>
      </c>
      <c r="H20" s="11" t="s">
        <v>163</v>
      </c>
      <c r="I20" t="s">
        <v>54</v>
      </c>
      <c r="J20">
        <v>6.86</v>
      </c>
      <c r="K20">
        <v>68.05</v>
      </c>
      <c r="L20" t="s">
        <v>55</v>
      </c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</row>
    <row r="21" spans="1:49" s="1" customFormat="1" ht="14.1" customHeight="1" x14ac:dyDescent="0.2">
      <c r="A21" s="16" t="s">
        <v>64</v>
      </c>
      <c r="B21" s="16">
        <v>1477918.11011576</v>
      </c>
      <c r="C21" s="16">
        <v>-336606.27869524597</v>
      </c>
      <c r="D21" s="16" t="s">
        <v>58</v>
      </c>
      <c r="E21" s="16">
        <v>1714544.6322379201</v>
      </c>
      <c r="F21" s="16" t="s">
        <v>51</v>
      </c>
      <c r="G21" s="16" t="s">
        <v>52</v>
      </c>
      <c r="H21" s="16" t="s">
        <v>170</v>
      </c>
      <c r="I21" s="16" t="s">
        <v>54</v>
      </c>
      <c r="J21" s="16">
        <v>6.86</v>
      </c>
      <c r="K21" s="16">
        <v>68.05</v>
      </c>
      <c r="L21" s="16" t="s">
        <v>55</v>
      </c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</row>
    <row r="22" spans="1:49" s="1" customFormat="1" ht="14.1" customHeight="1" x14ac:dyDescent="0.2">
      <c r="A22" s="1" t="s">
        <v>65</v>
      </c>
      <c r="B22" s="1">
        <v>1470832.2921865899</v>
      </c>
      <c r="C22" s="1">
        <v>-335045.69332328701</v>
      </c>
      <c r="D22" s="1" t="s">
        <v>50</v>
      </c>
      <c r="E22" s="1">
        <v>1539862.4160863401</v>
      </c>
      <c r="F22" s="1" t="s">
        <v>51</v>
      </c>
      <c r="G22" s="1" t="s">
        <v>52</v>
      </c>
      <c r="H22" s="1" t="s">
        <v>53</v>
      </c>
      <c r="I22" s="1" t="s">
        <v>54</v>
      </c>
      <c r="J22" s="1">
        <v>6.16</v>
      </c>
      <c r="K22" s="1">
        <v>74.88</v>
      </c>
      <c r="L22" s="1" t="s">
        <v>55</v>
      </c>
      <c r="M22" s="2">
        <v>43395</v>
      </c>
      <c r="N22" s="3">
        <v>0.53333333333333333</v>
      </c>
      <c r="O22" s="4">
        <v>0.5288194444444444</v>
      </c>
      <c r="P22" s="2">
        <v>43396</v>
      </c>
      <c r="Q22" s="1">
        <v>40</v>
      </c>
      <c r="R22" s="1" t="s">
        <v>66</v>
      </c>
      <c r="S22" s="1">
        <v>7.8</v>
      </c>
      <c r="T22" s="1">
        <v>0.1</v>
      </c>
      <c r="U22" s="1">
        <v>20.2</v>
      </c>
      <c r="V22" s="1">
        <v>97.1</v>
      </c>
      <c r="W22" s="1">
        <v>8.86</v>
      </c>
      <c r="X22" s="1">
        <v>8.2000000000000003E-2</v>
      </c>
      <c r="Y22" s="1">
        <v>7.37</v>
      </c>
      <c r="Z22" s="1" t="s">
        <v>54</v>
      </c>
      <c r="AA22" s="1">
        <v>7.3</v>
      </c>
      <c r="AB22" s="1">
        <v>14.5</v>
      </c>
      <c r="AC22" s="1">
        <v>7.3</v>
      </c>
      <c r="AD22" s="1">
        <v>18.7</v>
      </c>
      <c r="AE22" s="1">
        <v>68.900000000000006</v>
      </c>
      <c r="AF22" s="1">
        <v>6.43</v>
      </c>
      <c r="AG22" s="1">
        <v>8.2000000000000003E-2</v>
      </c>
      <c r="AH22" s="1">
        <v>7.34</v>
      </c>
      <c r="AI22" s="1" t="s">
        <v>54</v>
      </c>
      <c r="AJ22" s="1">
        <v>32.4</v>
      </c>
      <c r="AK22" s="1">
        <v>16.8</v>
      </c>
      <c r="AM22" s="11" t="s">
        <v>149</v>
      </c>
      <c r="AN22" s="11">
        <v>115</v>
      </c>
      <c r="AO22" s="11">
        <v>25</v>
      </c>
      <c r="AP22" s="11" t="s">
        <v>54</v>
      </c>
      <c r="AQ22" s="2">
        <v>43396</v>
      </c>
      <c r="AR22" s="3">
        <v>0.52222222222222225</v>
      </c>
      <c r="AS22" s="1">
        <f>25+7</f>
        <v>32</v>
      </c>
      <c r="AT22" s="1" t="s">
        <v>67</v>
      </c>
      <c r="AV22" s="1">
        <v>36.005468</v>
      </c>
      <c r="AW22" s="1">
        <v>78.667906000000002</v>
      </c>
    </row>
    <row r="23" spans="1:49" s="1" customFormat="1" ht="14.1" customHeight="1" x14ac:dyDescent="0.2">
      <c r="A23" s="16" t="s">
        <v>65</v>
      </c>
      <c r="B23" s="16">
        <v>1470832.2921865899</v>
      </c>
      <c r="C23" s="16">
        <v>-335045.69332328701</v>
      </c>
      <c r="D23" s="16" t="s">
        <v>50</v>
      </c>
      <c r="E23" s="16">
        <v>1539862.4160863401</v>
      </c>
      <c r="F23" s="16" t="s">
        <v>51</v>
      </c>
      <c r="G23" s="16" t="s">
        <v>52</v>
      </c>
      <c r="H23" s="16" t="s">
        <v>53</v>
      </c>
      <c r="I23" s="16" t="s">
        <v>54</v>
      </c>
      <c r="J23" s="16">
        <v>6.16</v>
      </c>
      <c r="K23" s="16">
        <v>74.88</v>
      </c>
      <c r="L23" s="16" t="s">
        <v>55</v>
      </c>
      <c r="M23" s="17">
        <v>43395</v>
      </c>
      <c r="N23" s="18">
        <v>0.53333333333333333</v>
      </c>
      <c r="O23" s="19">
        <v>0.5288194444444444</v>
      </c>
      <c r="P23" s="17">
        <v>43396</v>
      </c>
      <c r="Q23" s="16">
        <v>40</v>
      </c>
      <c r="R23" s="16" t="s">
        <v>66</v>
      </c>
      <c r="S23" s="16">
        <v>7.8</v>
      </c>
      <c r="T23" s="16">
        <v>0.1</v>
      </c>
      <c r="U23" s="16">
        <v>20.2</v>
      </c>
      <c r="V23" s="16">
        <v>97.1</v>
      </c>
      <c r="W23" s="16">
        <v>8.86</v>
      </c>
      <c r="X23" s="16">
        <v>8.2000000000000003E-2</v>
      </c>
      <c r="Y23" s="16">
        <v>7.37</v>
      </c>
      <c r="Z23" s="16" t="s">
        <v>54</v>
      </c>
      <c r="AA23" s="16">
        <v>7.3</v>
      </c>
      <c r="AB23" s="16">
        <v>14.5</v>
      </c>
      <c r="AC23" s="16">
        <v>7.3</v>
      </c>
      <c r="AD23" s="16">
        <v>18.7</v>
      </c>
      <c r="AE23" s="16">
        <v>68.900000000000006</v>
      </c>
      <c r="AF23" s="16">
        <v>6.43</v>
      </c>
      <c r="AG23" s="16">
        <v>8.2000000000000003E-2</v>
      </c>
      <c r="AH23" s="16">
        <v>7.34</v>
      </c>
      <c r="AI23" s="16" t="s">
        <v>54</v>
      </c>
      <c r="AJ23" s="16">
        <v>32.4</v>
      </c>
      <c r="AK23" s="16">
        <v>16.8</v>
      </c>
      <c r="AL23" s="16"/>
      <c r="AM23" s="16" t="s">
        <v>171</v>
      </c>
      <c r="AN23" s="16"/>
      <c r="AO23" s="16">
        <v>115</v>
      </c>
      <c r="AP23" s="16">
        <v>25</v>
      </c>
      <c r="AQ23" s="17">
        <v>43396</v>
      </c>
      <c r="AR23" s="18">
        <v>0.52222222222222225</v>
      </c>
      <c r="AS23" s="16">
        <f>25+7</f>
        <v>32</v>
      </c>
      <c r="AT23" s="16" t="s">
        <v>67</v>
      </c>
      <c r="AU23" s="16"/>
      <c r="AV23" s="16">
        <v>36.005468</v>
      </c>
      <c r="AW23" s="16">
        <v>78.667906000000002</v>
      </c>
    </row>
    <row r="24" spans="1:49" s="1" customFormat="1" ht="14.1" customHeight="1" x14ac:dyDescent="0.2">
      <c r="A24" s="1" t="s">
        <v>68</v>
      </c>
      <c r="B24" s="1">
        <v>1463782.2359781801</v>
      </c>
      <c r="C24" s="1">
        <v>-334735.986739307</v>
      </c>
      <c r="D24" s="1" t="s">
        <v>60</v>
      </c>
      <c r="E24" s="1">
        <v>2431945.9785411698</v>
      </c>
      <c r="F24" s="1" t="s">
        <v>51</v>
      </c>
      <c r="G24" s="1" t="s">
        <v>52</v>
      </c>
      <c r="H24" s="1" t="s">
        <v>53</v>
      </c>
      <c r="I24" s="1" t="s">
        <v>54</v>
      </c>
      <c r="J24" s="1">
        <v>9.73</v>
      </c>
      <c r="K24" s="1">
        <v>34.1</v>
      </c>
      <c r="L24" s="1" t="s">
        <v>55</v>
      </c>
      <c r="M24" s="2">
        <v>43395</v>
      </c>
      <c r="N24" s="3">
        <v>0.48402777777777778</v>
      </c>
      <c r="O24" s="4">
        <v>0.48182870370370368</v>
      </c>
      <c r="P24" s="2">
        <v>43396</v>
      </c>
      <c r="Q24" s="1">
        <v>40</v>
      </c>
      <c r="R24" s="1" t="s">
        <v>56</v>
      </c>
      <c r="S24" s="11">
        <v>3.9</v>
      </c>
      <c r="T24" s="1">
        <v>0.1</v>
      </c>
      <c r="U24" s="1">
        <v>18.8</v>
      </c>
      <c r="V24" s="1">
        <v>109</v>
      </c>
      <c r="W24" s="1">
        <v>10.17</v>
      </c>
      <c r="X24" s="1">
        <v>8.2000000000000003E-2</v>
      </c>
      <c r="Y24" s="1">
        <v>7.55</v>
      </c>
      <c r="Z24" s="1" t="s">
        <v>54</v>
      </c>
      <c r="AA24" s="1">
        <v>8.4</v>
      </c>
      <c r="AB24" s="1">
        <v>16.2</v>
      </c>
      <c r="AC24" s="1" t="s">
        <v>54</v>
      </c>
      <c r="AD24" s="1" t="s">
        <v>54</v>
      </c>
      <c r="AE24" s="1" t="s">
        <v>54</v>
      </c>
      <c r="AF24" s="1" t="s">
        <v>54</v>
      </c>
      <c r="AG24" s="1" t="s">
        <v>54</v>
      </c>
      <c r="AH24" s="1" t="s">
        <v>54</v>
      </c>
      <c r="AI24" s="1" t="s">
        <v>54</v>
      </c>
      <c r="AJ24" s="1" t="s">
        <v>54</v>
      </c>
      <c r="AK24" s="1" t="s">
        <v>54</v>
      </c>
      <c r="AL24" s="1" t="s">
        <v>54</v>
      </c>
      <c r="AM24" s="1" t="s">
        <v>54</v>
      </c>
      <c r="AN24" s="1" t="s">
        <v>54</v>
      </c>
      <c r="AO24" s="1" t="s">
        <v>54</v>
      </c>
      <c r="AP24" s="1" t="s">
        <v>54</v>
      </c>
      <c r="AQ24" s="2">
        <v>43396</v>
      </c>
      <c r="AR24" s="3">
        <v>0.47430555555555554</v>
      </c>
      <c r="AS24" s="1">
        <v>23.5</v>
      </c>
      <c r="AT24" s="1" t="s">
        <v>69</v>
      </c>
      <c r="AV24" s="1">
        <v>36.019039999999997</v>
      </c>
      <c r="AW24" s="11">
        <v>78.748576</v>
      </c>
    </row>
    <row r="25" spans="1:49" ht="14.1" customHeight="1" x14ac:dyDescent="0.2">
      <c r="A25" s="16" t="s">
        <v>68</v>
      </c>
      <c r="B25" s="16">
        <v>1463782.2359781801</v>
      </c>
      <c r="C25" s="16">
        <v>-334735.986739307</v>
      </c>
      <c r="D25" s="16" t="s">
        <v>60</v>
      </c>
      <c r="E25" s="16">
        <v>2431945.9785411698</v>
      </c>
      <c r="F25" s="16" t="s">
        <v>51</v>
      </c>
      <c r="G25" s="16" t="s">
        <v>52</v>
      </c>
      <c r="H25" s="16" t="s">
        <v>53</v>
      </c>
      <c r="I25" s="16" t="s">
        <v>54</v>
      </c>
      <c r="J25" s="16">
        <v>9.73</v>
      </c>
      <c r="K25" s="16">
        <v>34.1</v>
      </c>
      <c r="L25" s="16" t="s">
        <v>55</v>
      </c>
      <c r="M25" s="17">
        <v>43395</v>
      </c>
      <c r="N25" s="18">
        <v>0.48402777777777778</v>
      </c>
      <c r="O25" s="19">
        <v>0.48182870370370368</v>
      </c>
      <c r="P25" s="17">
        <v>43396</v>
      </c>
      <c r="Q25" s="16">
        <v>40</v>
      </c>
      <c r="R25" s="16" t="s">
        <v>56</v>
      </c>
      <c r="S25" s="16">
        <v>3.4</v>
      </c>
      <c r="T25" s="16">
        <v>0.1</v>
      </c>
      <c r="U25" s="16">
        <v>18.8</v>
      </c>
      <c r="V25" s="16">
        <v>109</v>
      </c>
      <c r="W25" s="16">
        <v>10.17</v>
      </c>
      <c r="X25" s="16">
        <v>8.2000000000000003E-2</v>
      </c>
      <c r="Y25" s="16">
        <v>7.55</v>
      </c>
      <c r="Z25" s="16" t="s">
        <v>54</v>
      </c>
      <c r="AA25" s="16">
        <v>8.4</v>
      </c>
      <c r="AB25" s="16">
        <v>16.2</v>
      </c>
      <c r="AC25" s="16" t="s">
        <v>54</v>
      </c>
      <c r="AD25" s="16" t="s">
        <v>54</v>
      </c>
      <c r="AE25" s="16" t="s">
        <v>54</v>
      </c>
      <c r="AF25" s="16" t="s">
        <v>54</v>
      </c>
      <c r="AG25" s="16" t="s">
        <v>54</v>
      </c>
      <c r="AH25" s="16" t="s">
        <v>54</v>
      </c>
      <c r="AI25" s="16" t="s">
        <v>54</v>
      </c>
      <c r="AJ25" s="16" t="s">
        <v>54</v>
      </c>
      <c r="AK25" s="16" t="s">
        <v>54</v>
      </c>
      <c r="AL25" s="16" t="s">
        <v>54</v>
      </c>
      <c r="AM25" s="16" t="s">
        <v>54</v>
      </c>
      <c r="AN25" s="16" t="s">
        <v>54</v>
      </c>
      <c r="AO25" s="16" t="s">
        <v>54</v>
      </c>
      <c r="AP25" s="16" t="s">
        <v>54</v>
      </c>
      <c r="AQ25" s="17">
        <v>43396</v>
      </c>
      <c r="AR25" s="18">
        <v>0.47430555555555554</v>
      </c>
      <c r="AS25" s="16">
        <v>23.5</v>
      </c>
      <c r="AT25" s="16" t="s">
        <v>69</v>
      </c>
      <c r="AU25" s="16"/>
      <c r="AV25" s="16">
        <v>36.019039999999997</v>
      </c>
      <c r="AW25" s="16">
        <v>78.798575999999997</v>
      </c>
    </row>
    <row r="26" spans="1:49" ht="14.1" customHeight="1" x14ac:dyDescent="0.2">
      <c r="A26" t="s">
        <v>70</v>
      </c>
      <c r="B26">
        <v>1471191.0327598799</v>
      </c>
      <c r="C26">
        <v>-335666.82881650003</v>
      </c>
      <c r="D26" t="s">
        <v>50</v>
      </c>
      <c r="E26">
        <v>1539862.4160863401</v>
      </c>
      <c r="F26" t="s">
        <v>51</v>
      </c>
      <c r="G26" t="s">
        <v>52</v>
      </c>
      <c r="H26" s="11" t="s">
        <v>163</v>
      </c>
      <c r="I26" t="s">
        <v>54</v>
      </c>
      <c r="J26">
        <v>6.16</v>
      </c>
      <c r="K26">
        <v>74.88</v>
      </c>
      <c r="L26" t="s">
        <v>55</v>
      </c>
    </row>
    <row r="27" spans="1:49" ht="14.1" customHeight="1" x14ac:dyDescent="0.2">
      <c r="A27" s="16" t="s">
        <v>70</v>
      </c>
      <c r="B27" s="16">
        <v>1471191.0327598799</v>
      </c>
      <c r="C27" s="16">
        <v>-335666.82881650003</v>
      </c>
      <c r="D27" s="16" t="s">
        <v>50</v>
      </c>
      <c r="E27" s="16">
        <v>1539862.4160863401</v>
      </c>
      <c r="F27" s="16" t="s">
        <v>51</v>
      </c>
      <c r="G27" s="16" t="s">
        <v>52</v>
      </c>
      <c r="H27" s="16" t="s">
        <v>170</v>
      </c>
      <c r="I27" s="16" t="s">
        <v>54</v>
      </c>
      <c r="J27" s="16">
        <v>6.16</v>
      </c>
      <c r="K27" s="16">
        <v>74.88</v>
      </c>
      <c r="L27" s="16" t="s">
        <v>55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</row>
    <row r="28" spans="1:49" ht="14.1" customHeight="1" x14ac:dyDescent="0.2">
      <c r="A28" s="1" t="s">
        <v>71</v>
      </c>
      <c r="B28" s="1">
        <v>1462680.4677613</v>
      </c>
      <c r="C28" s="1">
        <v>-332462.20717664203</v>
      </c>
      <c r="D28" s="1" t="s">
        <v>60</v>
      </c>
      <c r="E28" s="1">
        <v>2431945.9785411698</v>
      </c>
      <c r="F28" s="1" t="s">
        <v>51</v>
      </c>
      <c r="G28" s="1" t="s">
        <v>52</v>
      </c>
      <c r="H28" s="1" t="s">
        <v>53</v>
      </c>
      <c r="I28" s="1" t="s">
        <v>54</v>
      </c>
      <c r="J28" s="1">
        <v>9.73</v>
      </c>
      <c r="K28" s="1">
        <v>34.1</v>
      </c>
      <c r="L28" s="1" t="s">
        <v>55</v>
      </c>
      <c r="M28" s="2">
        <v>43395</v>
      </c>
      <c r="N28" s="3">
        <v>0.46736111111111112</v>
      </c>
      <c r="O28" s="4">
        <v>0.45839120370370368</v>
      </c>
      <c r="P28" s="2">
        <v>43396</v>
      </c>
      <c r="Q28" s="1">
        <v>40</v>
      </c>
      <c r="R28" s="1" t="s">
        <v>56</v>
      </c>
      <c r="S28" s="1">
        <v>1.4</v>
      </c>
      <c r="T28" s="1">
        <v>0.1</v>
      </c>
      <c r="U28" s="1">
        <v>18.2</v>
      </c>
      <c r="V28" s="1">
        <v>101.5</v>
      </c>
      <c r="W28" s="1">
        <v>9.57</v>
      </c>
      <c r="X28" s="1">
        <v>8.2000000000000003E-2</v>
      </c>
      <c r="Y28" s="1">
        <v>7.47</v>
      </c>
      <c r="Z28" s="1" t="s">
        <v>54</v>
      </c>
      <c r="AA28" s="1">
        <v>11.5</v>
      </c>
      <c r="AB28" s="1">
        <v>21.6</v>
      </c>
      <c r="AC28" s="1" t="s">
        <v>54</v>
      </c>
      <c r="AD28" s="1" t="s">
        <v>54</v>
      </c>
      <c r="AE28" s="1" t="s">
        <v>54</v>
      </c>
      <c r="AF28" s="1" t="s">
        <v>54</v>
      </c>
      <c r="AG28" s="1" t="s">
        <v>54</v>
      </c>
      <c r="AH28" s="1" t="s">
        <v>54</v>
      </c>
      <c r="AI28" s="1" t="s">
        <v>54</v>
      </c>
      <c r="AJ28" s="1" t="s">
        <v>54</v>
      </c>
      <c r="AK28" s="1" t="s">
        <v>54</v>
      </c>
      <c r="AL28" s="1" t="s">
        <v>54</v>
      </c>
      <c r="AM28" s="1" t="s">
        <v>54</v>
      </c>
      <c r="AN28" s="1" t="s">
        <v>54</v>
      </c>
      <c r="AO28" s="1" t="s">
        <v>54</v>
      </c>
      <c r="AP28" s="1" t="s">
        <v>54</v>
      </c>
      <c r="AQ28" s="2">
        <v>43396</v>
      </c>
      <c r="AR28" s="3">
        <v>0.4513888888888889</v>
      </c>
      <c r="AS28" s="1" t="s">
        <v>54</v>
      </c>
      <c r="AT28" s="1" t="s">
        <v>54</v>
      </c>
      <c r="AU28" s="1" t="s">
        <v>54</v>
      </c>
      <c r="AV28" s="1">
        <v>36.039748000000003</v>
      </c>
      <c r="AW28" s="1">
        <v>78.756086999999994</v>
      </c>
    </row>
    <row r="29" spans="1:49" s="1" customFormat="1" ht="14.1" customHeight="1" x14ac:dyDescent="0.2">
      <c r="A29" s="16" t="s">
        <v>71</v>
      </c>
      <c r="B29" s="16">
        <v>1462680.4677613</v>
      </c>
      <c r="C29" s="16">
        <v>-332462.20717664203</v>
      </c>
      <c r="D29" s="16" t="s">
        <v>60</v>
      </c>
      <c r="E29" s="16">
        <v>2431945.9785411698</v>
      </c>
      <c r="F29" s="16" t="s">
        <v>51</v>
      </c>
      <c r="G29" s="16" t="s">
        <v>52</v>
      </c>
      <c r="H29" s="16" t="s">
        <v>53</v>
      </c>
      <c r="I29" s="16" t="s">
        <v>54</v>
      </c>
      <c r="J29" s="16">
        <v>9.73</v>
      </c>
      <c r="K29" s="16">
        <v>34.1</v>
      </c>
      <c r="L29" s="16" t="s">
        <v>55</v>
      </c>
      <c r="M29" s="17">
        <v>43395</v>
      </c>
      <c r="N29" s="18">
        <v>0.46736111111111112</v>
      </c>
      <c r="O29" s="19">
        <v>0.45839120370370368</v>
      </c>
      <c r="P29" s="17">
        <v>43396</v>
      </c>
      <c r="Q29" s="16">
        <v>40</v>
      </c>
      <c r="R29" s="16" t="s">
        <v>56</v>
      </c>
      <c r="S29" s="16">
        <v>1.4</v>
      </c>
      <c r="T29" s="16">
        <v>0.1</v>
      </c>
      <c r="U29" s="16">
        <v>18.2</v>
      </c>
      <c r="V29" s="16">
        <v>101.5</v>
      </c>
      <c r="W29" s="16">
        <v>9.57</v>
      </c>
      <c r="X29" s="16">
        <v>8.2000000000000003E-2</v>
      </c>
      <c r="Y29" s="16">
        <v>7.47</v>
      </c>
      <c r="Z29" s="16" t="s">
        <v>54</v>
      </c>
      <c r="AA29" s="16">
        <v>11.5</v>
      </c>
      <c r="AB29" s="16">
        <v>21.6</v>
      </c>
      <c r="AC29" s="16" t="s">
        <v>54</v>
      </c>
      <c r="AD29" s="16" t="s">
        <v>54</v>
      </c>
      <c r="AE29" s="16" t="s">
        <v>54</v>
      </c>
      <c r="AF29" s="16" t="s">
        <v>54</v>
      </c>
      <c r="AG29" s="16" t="s">
        <v>54</v>
      </c>
      <c r="AH29" s="16" t="s">
        <v>54</v>
      </c>
      <c r="AI29" s="16" t="s">
        <v>54</v>
      </c>
      <c r="AJ29" s="16" t="s">
        <v>54</v>
      </c>
      <c r="AK29" s="16" t="s">
        <v>54</v>
      </c>
      <c r="AL29" s="16" t="s">
        <v>54</v>
      </c>
      <c r="AM29" s="16" t="s">
        <v>54</v>
      </c>
      <c r="AN29" s="16" t="s">
        <v>54</v>
      </c>
      <c r="AO29" s="16" t="s">
        <v>54</v>
      </c>
      <c r="AP29" s="16" t="s">
        <v>54</v>
      </c>
      <c r="AQ29" s="17">
        <v>43396</v>
      </c>
      <c r="AR29" s="18">
        <v>0.4513888888888889</v>
      </c>
      <c r="AS29" s="16" t="s">
        <v>54</v>
      </c>
      <c r="AT29" s="16" t="s">
        <v>54</v>
      </c>
      <c r="AU29" s="16" t="s">
        <v>54</v>
      </c>
      <c r="AV29" s="16">
        <v>36.039748000000003</v>
      </c>
      <c r="AW29" s="16">
        <v>78.756086999999994</v>
      </c>
    </row>
    <row r="30" spans="1:49" ht="14.1" customHeight="1" x14ac:dyDescent="0.2">
      <c r="A30" s="1" t="s">
        <v>72</v>
      </c>
      <c r="B30" s="1">
        <v>1466414.9252194699</v>
      </c>
      <c r="C30" s="1">
        <v>-334215.53306021</v>
      </c>
      <c r="D30" s="1" t="s">
        <v>60</v>
      </c>
      <c r="E30" s="1">
        <v>2431945.9785411698</v>
      </c>
      <c r="F30" s="1" t="s">
        <v>51</v>
      </c>
      <c r="G30" s="1" t="s">
        <v>52</v>
      </c>
      <c r="H30" s="1" t="s">
        <v>53</v>
      </c>
      <c r="I30" s="1" t="s">
        <v>54</v>
      </c>
      <c r="J30" s="1">
        <v>9.73</v>
      </c>
      <c r="K30" s="1">
        <v>34.1</v>
      </c>
      <c r="L30" s="1" t="s">
        <v>55</v>
      </c>
      <c r="M30" s="2">
        <v>43395</v>
      </c>
      <c r="N30" s="3">
        <v>0.52222222222222225</v>
      </c>
      <c r="O30" s="4">
        <v>0.51722222222222225</v>
      </c>
      <c r="P30" s="2">
        <v>43396</v>
      </c>
      <c r="Q30" s="1">
        <v>40</v>
      </c>
      <c r="R30" s="1" t="s">
        <v>56</v>
      </c>
      <c r="S30" s="1">
        <v>3.6</v>
      </c>
      <c r="T30" s="1">
        <v>0.1</v>
      </c>
      <c r="U30" s="1">
        <v>19.3</v>
      </c>
      <c r="V30" s="1">
        <v>105.6</v>
      </c>
      <c r="W30" s="1">
        <v>9.7100000000000009</v>
      </c>
      <c r="X30" s="1">
        <v>0.08</v>
      </c>
      <c r="Y30" s="1">
        <v>7.49</v>
      </c>
      <c r="Z30" s="1" t="s">
        <v>54</v>
      </c>
      <c r="AA30" s="1">
        <v>6.6</v>
      </c>
      <c r="AB30" s="1">
        <v>16.3</v>
      </c>
      <c r="AC30" s="1" t="s">
        <v>54</v>
      </c>
      <c r="AD30" s="1" t="s">
        <v>54</v>
      </c>
      <c r="AE30" s="1" t="s">
        <v>54</v>
      </c>
      <c r="AF30" s="1" t="s">
        <v>54</v>
      </c>
      <c r="AG30" s="1" t="s">
        <v>54</v>
      </c>
      <c r="AH30" s="1" t="s">
        <v>54</v>
      </c>
      <c r="AI30" s="1" t="s">
        <v>54</v>
      </c>
      <c r="AJ30" s="1" t="s">
        <v>54</v>
      </c>
      <c r="AK30" s="1" t="s">
        <v>54</v>
      </c>
      <c r="AL30" s="1" t="s">
        <v>54</v>
      </c>
      <c r="AM30" s="1" t="s">
        <v>54</v>
      </c>
      <c r="AN30" s="1" t="s">
        <v>54</v>
      </c>
      <c r="AO30" s="1" t="s">
        <v>54</v>
      </c>
      <c r="AP30" s="1" t="s">
        <v>54</v>
      </c>
      <c r="AQ30" s="2">
        <v>43396</v>
      </c>
      <c r="AR30" s="3">
        <v>0.51041666666666663</v>
      </c>
      <c r="AS30" s="1">
        <v>0.5</v>
      </c>
      <c r="AT30" s="1" t="s">
        <v>54</v>
      </c>
      <c r="AU30" s="1" t="s">
        <v>54</v>
      </c>
      <c r="AV30" s="1">
        <v>36.019297000000002</v>
      </c>
      <c r="AW30" s="1">
        <v>78.717118999999997</v>
      </c>
    </row>
    <row r="31" spans="1:49" ht="14.1" customHeight="1" x14ac:dyDescent="0.2">
      <c r="A31" s="16" t="s">
        <v>72</v>
      </c>
      <c r="B31" s="16">
        <v>1466414.9252194699</v>
      </c>
      <c r="C31" s="16">
        <v>-334215.53306021</v>
      </c>
      <c r="D31" s="16" t="s">
        <v>60</v>
      </c>
      <c r="E31" s="16">
        <v>2431945.9785411698</v>
      </c>
      <c r="F31" s="16" t="s">
        <v>51</v>
      </c>
      <c r="G31" s="16" t="s">
        <v>52</v>
      </c>
      <c r="H31" s="16" t="s">
        <v>53</v>
      </c>
      <c r="I31" s="16" t="s">
        <v>54</v>
      </c>
      <c r="J31" s="16">
        <v>9.73</v>
      </c>
      <c r="K31" s="16">
        <v>34.1</v>
      </c>
      <c r="L31" s="16" t="s">
        <v>55</v>
      </c>
      <c r="M31" s="17">
        <v>43395</v>
      </c>
      <c r="N31" s="18">
        <v>0.52222222222222225</v>
      </c>
      <c r="O31" s="19">
        <v>0.51722222222222225</v>
      </c>
      <c r="P31" s="17">
        <v>43396</v>
      </c>
      <c r="Q31" s="16">
        <v>40</v>
      </c>
      <c r="R31" s="16" t="s">
        <v>56</v>
      </c>
      <c r="S31" s="16">
        <v>3.6</v>
      </c>
      <c r="T31" s="16">
        <v>0.1</v>
      </c>
      <c r="U31" s="16">
        <v>19.3</v>
      </c>
      <c r="V31" s="16">
        <v>105.6</v>
      </c>
      <c r="W31" s="16">
        <v>9.7100000000000009</v>
      </c>
      <c r="X31" s="16">
        <v>0.08</v>
      </c>
      <c r="Y31" s="16">
        <v>7.49</v>
      </c>
      <c r="Z31" s="16" t="s">
        <v>54</v>
      </c>
      <c r="AA31" s="16">
        <v>6.6</v>
      </c>
      <c r="AB31" s="16">
        <v>16.3</v>
      </c>
      <c r="AC31" s="16" t="s">
        <v>54</v>
      </c>
      <c r="AD31" s="16" t="s">
        <v>54</v>
      </c>
      <c r="AE31" s="16" t="s">
        <v>54</v>
      </c>
      <c r="AF31" s="16" t="s">
        <v>54</v>
      </c>
      <c r="AG31" s="16" t="s">
        <v>54</v>
      </c>
      <c r="AH31" s="16" t="s">
        <v>54</v>
      </c>
      <c r="AI31" s="16" t="s">
        <v>54</v>
      </c>
      <c r="AJ31" s="16" t="s">
        <v>54</v>
      </c>
      <c r="AK31" s="16" t="s">
        <v>54</v>
      </c>
      <c r="AL31" s="16" t="s">
        <v>54</v>
      </c>
      <c r="AM31" s="16" t="s">
        <v>54</v>
      </c>
      <c r="AN31" s="16" t="s">
        <v>54</v>
      </c>
      <c r="AO31" s="16" t="s">
        <v>54</v>
      </c>
      <c r="AP31" s="16" t="s">
        <v>54</v>
      </c>
      <c r="AQ31" s="17">
        <v>43396</v>
      </c>
      <c r="AR31" s="18">
        <v>0.51041666666666663</v>
      </c>
      <c r="AS31" s="16">
        <v>0.5</v>
      </c>
      <c r="AT31" s="16" t="s">
        <v>54</v>
      </c>
      <c r="AU31" s="16" t="s">
        <v>54</v>
      </c>
      <c r="AV31" s="16">
        <v>36.019297000000002</v>
      </c>
      <c r="AW31" s="16">
        <v>78.717118999999997</v>
      </c>
    </row>
    <row r="32" spans="1:49" s="1" customFormat="1" ht="14.1" customHeight="1" x14ac:dyDescent="0.2">
      <c r="A32" s="1" t="s">
        <v>73</v>
      </c>
      <c r="B32" s="1">
        <v>1474509.59706117</v>
      </c>
      <c r="C32" s="1">
        <v>-339143.283510532</v>
      </c>
      <c r="D32" s="1" t="s">
        <v>58</v>
      </c>
      <c r="E32" s="1">
        <v>1714544.6322379201</v>
      </c>
      <c r="F32" s="1" t="s">
        <v>51</v>
      </c>
      <c r="G32" s="1" t="s">
        <v>52</v>
      </c>
      <c r="H32" s="1" t="s">
        <v>53</v>
      </c>
      <c r="I32" s="1" t="s">
        <v>54</v>
      </c>
      <c r="J32" s="1">
        <v>6.86</v>
      </c>
      <c r="K32" s="1">
        <v>68.05</v>
      </c>
      <c r="L32" s="1" t="s">
        <v>55</v>
      </c>
      <c r="M32" s="2">
        <v>43395</v>
      </c>
      <c r="N32" s="3">
        <v>0.57291666666666663</v>
      </c>
      <c r="O32" s="3">
        <v>0.57265046296296296</v>
      </c>
      <c r="P32" s="2">
        <v>43396</v>
      </c>
      <c r="Q32" s="1">
        <v>40</v>
      </c>
      <c r="R32" s="1" t="s">
        <v>56</v>
      </c>
      <c r="S32" s="1">
        <v>4.5</v>
      </c>
      <c r="T32" s="1">
        <v>0.1</v>
      </c>
      <c r="U32" s="1">
        <v>21.6</v>
      </c>
      <c r="V32" s="1">
        <v>90.4</v>
      </c>
      <c r="W32" s="1">
        <v>7.98</v>
      </c>
      <c r="X32" s="1">
        <v>8.5000000000000006E-2</v>
      </c>
      <c r="Y32" s="1">
        <v>7.18</v>
      </c>
      <c r="Z32" s="1" t="s">
        <v>54</v>
      </c>
      <c r="AA32" s="1">
        <v>4.2</v>
      </c>
      <c r="AB32" s="1">
        <v>11</v>
      </c>
      <c r="AC32" s="1" t="s">
        <v>54</v>
      </c>
      <c r="AD32" s="1" t="s">
        <v>54</v>
      </c>
      <c r="AE32" s="1" t="s">
        <v>54</v>
      </c>
      <c r="AF32" s="1" t="s">
        <v>54</v>
      </c>
      <c r="AG32" s="1" t="s">
        <v>54</v>
      </c>
      <c r="AH32" s="1" t="s">
        <v>54</v>
      </c>
      <c r="AI32" s="1" t="s">
        <v>54</v>
      </c>
      <c r="AJ32" s="1" t="s">
        <v>54</v>
      </c>
      <c r="AK32" s="1" t="s">
        <v>54</v>
      </c>
      <c r="AL32" s="1" t="s">
        <v>54</v>
      </c>
      <c r="AM32" s="1" t="s">
        <v>54</v>
      </c>
      <c r="AN32" s="1" t="s">
        <v>54</v>
      </c>
      <c r="AO32" s="1" t="s">
        <v>54</v>
      </c>
      <c r="AP32" s="1" t="s">
        <v>54</v>
      </c>
      <c r="AQ32" s="2">
        <v>43396</v>
      </c>
      <c r="AR32" s="3">
        <v>0.56805555555555554</v>
      </c>
      <c r="AS32" s="1">
        <f>25+1</f>
        <v>26</v>
      </c>
      <c r="AT32" s="1" t="s">
        <v>74</v>
      </c>
      <c r="AV32" s="11">
        <v>35.96557</v>
      </c>
      <c r="AW32" s="1">
        <v>78.633921999999998</v>
      </c>
    </row>
    <row r="33" spans="1:49" ht="14.1" customHeight="1" x14ac:dyDescent="0.2">
      <c r="A33" s="16" t="s">
        <v>73</v>
      </c>
      <c r="B33" s="16">
        <v>1474509.59706117</v>
      </c>
      <c r="C33" s="16">
        <v>-339143.283510532</v>
      </c>
      <c r="D33" s="16" t="s">
        <v>58</v>
      </c>
      <c r="E33" s="16">
        <v>1714544.6322379201</v>
      </c>
      <c r="F33" s="16" t="s">
        <v>51</v>
      </c>
      <c r="G33" s="16" t="s">
        <v>52</v>
      </c>
      <c r="H33" s="16" t="s">
        <v>53</v>
      </c>
      <c r="I33" s="16" t="s">
        <v>54</v>
      </c>
      <c r="J33" s="16">
        <v>6.86</v>
      </c>
      <c r="K33" s="16">
        <v>68.05</v>
      </c>
      <c r="L33" s="16" t="s">
        <v>55</v>
      </c>
      <c r="M33" s="17">
        <v>43395</v>
      </c>
      <c r="N33" s="18">
        <v>0.57291666666666663</v>
      </c>
      <c r="O33" s="18">
        <v>0.57265046296296296</v>
      </c>
      <c r="P33" s="17">
        <v>43396</v>
      </c>
      <c r="Q33" s="16">
        <v>40</v>
      </c>
      <c r="R33" s="16" t="s">
        <v>56</v>
      </c>
      <c r="S33" s="16">
        <v>4.5</v>
      </c>
      <c r="T33" s="16">
        <v>0.1</v>
      </c>
      <c r="U33" s="16">
        <v>21.6</v>
      </c>
      <c r="V33" s="16">
        <v>90.4</v>
      </c>
      <c r="W33" s="16">
        <v>7.98</v>
      </c>
      <c r="X33" s="16">
        <v>8.5000000000000006E-2</v>
      </c>
      <c r="Y33" s="16">
        <v>7.18</v>
      </c>
      <c r="Z33" s="16" t="s">
        <v>54</v>
      </c>
      <c r="AA33" s="16">
        <v>4.2</v>
      </c>
      <c r="AB33" s="16">
        <v>11</v>
      </c>
      <c r="AC33" s="16" t="s">
        <v>54</v>
      </c>
      <c r="AD33" s="16" t="s">
        <v>54</v>
      </c>
      <c r="AE33" s="16" t="s">
        <v>54</v>
      </c>
      <c r="AF33" s="16" t="s">
        <v>54</v>
      </c>
      <c r="AG33" s="16" t="s">
        <v>54</v>
      </c>
      <c r="AH33" s="16" t="s">
        <v>54</v>
      </c>
      <c r="AI33" s="16" t="s">
        <v>54</v>
      </c>
      <c r="AJ33" s="16" t="s">
        <v>54</v>
      </c>
      <c r="AK33" s="16" t="s">
        <v>54</v>
      </c>
      <c r="AL33" s="16" t="s">
        <v>54</v>
      </c>
      <c r="AM33" s="16" t="s">
        <v>54</v>
      </c>
      <c r="AN33" s="16" t="s">
        <v>54</v>
      </c>
      <c r="AO33" s="16" t="s">
        <v>54</v>
      </c>
      <c r="AP33" s="16" t="s">
        <v>54</v>
      </c>
      <c r="AQ33" s="17">
        <v>43396</v>
      </c>
      <c r="AR33" s="18">
        <v>0.56805555555555554</v>
      </c>
      <c r="AS33" s="16">
        <f>25+1</f>
        <v>26</v>
      </c>
      <c r="AT33" s="16" t="s">
        <v>74</v>
      </c>
      <c r="AU33" s="16"/>
      <c r="AV33" s="16">
        <v>35.965589999999999</v>
      </c>
      <c r="AW33" s="16">
        <v>78.633921999999998</v>
      </c>
    </row>
    <row r="34" spans="1:49" ht="14.1" customHeight="1" x14ac:dyDescent="0.2">
      <c r="A34" s="1" t="s">
        <v>75</v>
      </c>
      <c r="B34" s="1">
        <v>1472663.7434799201</v>
      </c>
      <c r="C34" s="1">
        <v>-334935.09844277601</v>
      </c>
      <c r="D34" s="1" t="s">
        <v>50</v>
      </c>
      <c r="E34" s="1">
        <v>1539862.4160863401</v>
      </c>
      <c r="F34" s="1" t="s">
        <v>51</v>
      </c>
      <c r="G34" s="1" t="s">
        <v>52</v>
      </c>
      <c r="H34" s="1" t="s">
        <v>53</v>
      </c>
      <c r="I34" s="1" t="s">
        <v>54</v>
      </c>
      <c r="J34" s="1">
        <v>6.16</v>
      </c>
      <c r="K34" s="1">
        <v>74.88</v>
      </c>
      <c r="L34" s="1" t="s">
        <v>55</v>
      </c>
      <c r="M34" s="2">
        <v>43395</v>
      </c>
      <c r="N34" s="3">
        <v>0.5625</v>
      </c>
      <c r="O34" s="3">
        <v>0.55960648148148151</v>
      </c>
      <c r="P34" s="2">
        <v>43396</v>
      </c>
      <c r="Q34" s="1">
        <v>40</v>
      </c>
      <c r="R34" s="1" t="s">
        <v>56</v>
      </c>
      <c r="S34" s="1">
        <v>4</v>
      </c>
      <c r="T34" s="1">
        <v>0.1</v>
      </c>
      <c r="U34" s="1">
        <v>21</v>
      </c>
      <c r="V34" s="1">
        <v>90.2</v>
      </c>
      <c r="W34" s="1">
        <v>8.0299999999999994</v>
      </c>
      <c r="X34" s="1">
        <v>8.2000000000000003E-2</v>
      </c>
      <c r="Y34" s="1">
        <v>7.29</v>
      </c>
      <c r="Z34" s="1" t="s">
        <v>54</v>
      </c>
      <c r="AA34" s="1">
        <v>5.9</v>
      </c>
      <c r="AB34" s="1">
        <v>13.5</v>
      </c>
      <c r="AC34" s="1" t="s">
        <v>54</v>
      </c>
      <c r="AD34" s="1" t="s">
        <v>54</v>
      </c>
      <c r="AE34" s="1" t="s">
        <v>54</v>
      </c>
      <c r="AF34" s="1" t="s">
        <v>54</v>
      </c>
      <c r="AG34" s="1" t="s">
        <v>54</v>
      </c>
      <c r="AH34" s="1" t="s">
        <v>54</v>
      </c>
      <c r="AI34" s="1" t="s">
        <v>54</v>
      </c>
      <c r="AJ34" s="1" t="s">
        <v>54</v>
      </c>
      <c r="AK34" s="1" t="s">
        <v>54</v>
      </c>
      <c r="AL34" s="1" t="s">
        <v>54</v>
      </c>
      <c r="AM34" s="1" t="s">
        <v>54</v>
      </c>
      <c r="AN34" s="1" t="s">
        <v>54</v>
      </c>
      <c r="AO34" s="1" t="s">
        <v>54</v>
      </c>
      <c r="AP34" s="1" t="s">
        <v>54</v>
      </c>
      <c r="AQ34" s="2">
        <v>43396</v>
      </c>
      <c r="AR34" s="3">
        <v>0.55277777777777781</v>
      </c>
      <c r="AS34" s="1">
        <v>0.5</v>
      </c>
      <c r="AT34" s="1" t="s">
        <v>54</v>
      </c>
      <c r="AU34" s="1" t="s">
        <v>54</v>
      </c>
      <c r="AV34" s="1">
        <v>36.003616999999998</v>
      </c>
      <c r="AW34" s="1">
        <v>78.646281999999999</v>
      </c>
    </row>
    <row r="35" spans="1:49" ht="14.1" customHeight="1" x14ac:dyDescent="0.2">
      <c r="A35" s="16" t="s">
        <v>75</v>
      </c>
      <c r="B35" s="16">
        <v>1472663.7434799201</v>
      </c>
      <c r="C35" s="16">
        <v>-334935.09844277601</v>
      </c>
      <c r="D35" s="16" t="s">
        <v>50</v>
      </c>
      <c r="E35" s="16">
        <v>1539862.4160863401</v>
      </c>
      <c r="F35" s="16" t="s">
        <v>51</v>
      </c>
      <c r="G35" s="16" t="s">
        <v>52</v>
      </c>
      <c r="H35" s="16" t="s">
        <v>53</v>
      </c>
      <c r="I35" s="16" t="s">
        <v>54</v>
      </c>
      <c r="J35" s="16">
        <v>6.16</v>
      </c>
      <c r="K35" s="16">
        <v>74.88</v>
      </c>
      <c r="L35" s="16" t="s">
        <v>55</v>
      </c>
      <c r="M35" s="17">
        <v>43395</v>
      </c>
      <c r="N35" s="18">
        <v>0.5625</v>
      </c>
      <c r="O35" s="18">
        <v>0.55960648148148151</v>
      </c>
      <c r="P35" s="17">
        <v>43396</v>
      </c>
      <c r="Q35" s="16">
        <v>40</v>
      </c>
      <c r="R35" s="16" t="s">
        <v>56</v>
      </c>
      <c r="S35" s="16">
        <v>4</v>
      </c>
      <c r="T35" s="16">
        <v>0.1</v>
      </c>
      <c r="U35" s="16">
        <v>21</v>
      </c>
      <c r="V35" s="16">
        <v>90.2</v>
      </c>
      <c r="W35" s="16">
        <v>8.0299999999999994</v>
      </c>
      <c r="X35" s="16">
        <v>8.2000000000000003E-2</v>
      </c>
      <c r="Y35" s="16">
        <v>7.29</v>
      </c>
      <c r="Z35" s="16" t="s">
        <v>54</v>
      </c>
      <c r="AA35" s="16">
        <v>5.9</v>
      </c>
      <c r="AB35" s="16">
        <v>13.5</v>
      </c>
      <c r="AC35" s="16" t="s">
        <v>54</v>
      </c>
      <c r="AD35" s="16" t="s">
        <v>54</v>
      </c>
      <c r="AE35" s="16" t="s">
        <v>54</v>
      </c>
      <c r="AF35" s="16" t="s">
        <v>54</v>
      </c>
      <c r="AG35" s="16" t="s">
        <v>54</v>
      </c>
      <c r="AH35" s="16" t="s">
        <v>54</v>
      </c>
      <c r="AI35" s="16" t="s">
        <v>54</v>
      </c>
      <c r="AJ35" s="16" t="s">
        <v>54</v>
      </c>
      <c r="AK35" s="16" t="s">
        <v>54</v>
      </c>
      <c r="AL35" s="16" t="s">
        <v>54</v>
      </c>
      <c r="AM35" s="16" t="s">
        <v>54</v>
      </c>
      <c r="AN35" s="16" t="s">
        <v>54</v>
      </c>
      <c r="AO35" s="16" t="s">
        <v>54</v>
      </c>
      <c r="AP35" s="16" t="s">
        <v>54</v>
      </c>
      <c r="AQ35" s="17">
        <v>43396</v>
      </c>
      <c r="AR35" s="18">
        <v>0.55277777777777781</v>
      </c>
      <c r="AS35" s="16">
        <v>0.5</v>
      </c>
      <c r="AT35" s="16" t="s">
        <v>54</v>
      </c>
      <c r="AU35" s="16" t="s">
        <v>54</v>
      </c>
      <c r="AV35" s="16">
        <v>36.003616999999998</v>
      </c>
      <c r="AW35" s="16">
        <v>78.646281999999999</v>
      </c>
    </row>
    <row r="36" spans="1:49" ht="14.1" customHeight="1" x14ac:dyDescent="0.2">
      <c r="A36" s="1" t="s">
        <v>76</v>
      </c>
      <c r="B36" s="1">
        <v>1465540.00673415</v>
      </c>
      <c r="C36" s="1">
        <v>-329572.61813189602</v>
      </c>
      <c r="D36" s="1" t="s">
        <v>77</v>
      </c>
      <c r="E36" s="1">
        <v>2375053.6585566499</v>
      </c>
      <c r="F36" s="1" t="s">
        <v>51</v>
      </c>
      <c r="G36" s="1" t="s">
        <v>52</v>
      </c>
      <c r="H36" s="1" t="s">
        <v>53</v>
      </c>
      <c r="I36" s="1" t="s">
        <v>54</v>
      </c>
      <c r="J36" s="1">
        <v>9.5</v>
      </c>
      <c r="K36" s="1">
        <v>47.15</v>
      </c>
      <c r="L36" s="1" t="s">
        <v>55</v>
      </c>
      <c r="M36" s="2">
        <v>43395</v>
      </c>
      <c r="N36" s="3">
        <v>0.50416666666666665</v>
      </c>
      <c r="O36" s="4">
        <v>0.50116898148148148</v>
      </c>
      <c r="P36" s="2">
        <v>43396</v>
      </c>
      <c r="Q36" s="1">
        <v>40</v>
      </c>
      <c r="R36" s="1" t="s">
        <v>56</v>
      </c>
      <c r="S36" s="1">
        <v>1.6</v>
      </c>
      <c r="T36" s="1">
        <v>0.1</v>
      </c>
      <c r="U36" s="1">
        <v>18.5</v>
      </c>
      <c r="V36" s="1">
        <v>104.4</v>
      </c>
      <c r="W36" s="1">
        <v>9.84</v>
      </c>
      <c r="X36" s="1">
        <v>7.5999999999999998E-2</v>
      </c>
      <c r="Y36" s="11">
        <v>7.39</v>
      </c>
      <c r="Z36" s="1" t="s">
        <v>54</v>
      </c>
      <c r="AA36" s="1">
        <v>7.3</v>
      </c>
      <c r="AB36" s="1">
        <v>11.2</v>
      </c>
      <c r="AC36" s="1">
        <v>1</v>
      </c>
      <c r="AD36" s="1">
        <v>18</v>
      </c>
      <c r="AE36" s="1">
        <v>89.4</v>
      </c>
      <c r="AF36" s="1">
        <v>8.49</v>
      </c>
      <c r="AG36" s="1">
        <v>7.5999999999999998E-2</v>
      </c>
      <c r="AH36" s="1">
        <v>7.47</v>
      </c>
      <c r="AI36" s="1" t="s">
        <v>54</v>
      </c>
      <c r="AJ36" s="1">
        <v>14</v>
      </c>
      <c r="AK36" s="1">
        <v>14.6</v>
      </c>
      <c r="AL36" s="1"/>
      <c r="AM36" s="11" t="s">
        <v>148</v>
      </c>
      <c r="AN36" s="11">
        <v>115</v>
      </c>
      <c r="AO36" s="11">
        <v>25</v>
      </c>
      <c r="AP36" s="11" t="s">
        <v>54</v>
      </c>
      <c r="AQ36" s="2">
        <v>43396</v>
      </c>
      <c r="AR36" s="3">
        <v>0.49652777777777773</v>
      </c>
      <c r="AS36" s="1">
        <v>0.5</v>
      </c>
      <c r="AT36" s="1" t="s">
        <v>54</v>
      </c>
      <c r="AU36" s="1" t="s">
        <v>54</v>
      </c>
      <c r="AV36" s="1">
        <v>36.059522000000001</v>
      </c>
      <c r="AW36" s="1">
        <v>78.717112</v>
      </c>
    </row>
    <row r="37" spans="1:49" ht="14.1" customHeight="1" x14ac:dyDescent="0.2">
      <c r="A37" s="16" t="s">
        <v>76</v>
      </c>
      <c r="B37" s="16">
        <v>1465540.00673415</v>
      </c>
      <c r="C37" s="16">
        <v>-329572.61813189602</v>
      </c>
      <c r="D37" s="16" t="s">
        <v>77</v>
      </c>
      <c r="E37" s="16">
        <v>2375053.6585566499</v>
      </c>
      <c r="F37" s="16" t="s">
        <v>51</v>
      </c>
      <c r="G37" s="16" t="s">
        <v>52</v>
      </c>
      <c r="H37" s="16" t="s">
        <v>53</v>
      </c>
      <c r="I37" s="16" t="s">
        <v>54</v>
      </c>
      <c r="J37" s="16">
        <v>9.5</v>
      </c>
      <c r="K37" s="16">
        <v>47.15</v>
      </c>
      <c r="L37" s="16" t="s">
        <v>55</v>
      </c>
      <c r="M37" s="17">
        <v>43395</v>
      </c>
      <c r="N37" s="18">
        <v>0.50416666666666665</v>
      </c>
      <c r="O37" s="19">
        <v>0.50116898148148148</v>
      </c>
      <c r="P37" s="17">
        <v>43396</v>
      </c>
      <c r="Q37" s="16">
        <v>40</v>
      </c>
      <c r="R37" s="16" t="s">
        <v>56</v>
      </c>
      <c r="S37" s="16">
        <v>1.6</v>
      </c>
      <c r="T37" s="16">
        <v>0.1</v>
      </c>
      <c r="U37" s="16">
        <v>18.5</v>
      </c>
      <c r="V37" s="16">
        <v>104.4</v>
      </c>
      <c r="W37" s="16">
        <v>9.84</v>
      </c>
      <c r="X37" s="16">
        <v>7.5999999999999998E-2</v>
      </c>
      <c r="Y37" s="16">
        <v>7.35</v>
      </c>
      <c r="Z37" s="16" t="s">
        <v>54</v>
      </c>
      <c r="AA37" s="16">
        <v>7.3</v>
      </c>
      <c r="AB37" s="16">
        <v>11.2</v>
      </c>
      <c r="AC37" s="16">
        <v>1</v>
      </c>
      <c r="AD37" s="16">
        <v>18</v>
      </c>
      <c r="AE37" s="16">
        <v>89.4</v>
      </c>
      <c r="AF37" s="16">
        <v>8.49</v>
      </c>
      <c r="AG37" s="16">
        <v>7.5999999999999998E-2</v>
      </c>
      <c r="AH37" s="16">
        <v>7.47</v>
      </c>
      <c r="AI37" s="16" t="s">
        <v>54</v>
      </c>
      <c r="AJ37" s="16">
        <v>14</v>
      </c>
      <c r="AK37" s="16">
        <v>14.6</v>
      </c>
      <c r="AL37" s="16"/>
      <c r="AM37" s="16" t="s">
        <v>172</v>
      </c>
      <c r="AN37" s="16"/>
      <c r="AO37" s="16">
        <v>115</v>
      </c>
      <c r="AP37" s="16">
        <v>25</v>
      </c>
      <c r="AQ37" s="17">
        <v>43396</v>
      </c>
      <c r="AR37" s="18">
        <v>0.49652777777777773</v>
      </c>
      <c r="AS37" s="16">
        <v>0.5</v>
      </c>
      <c r="AT37" s="16" t="s">
        <v>54</v>
      </c>
      <c r="AU37" s="16" t="s">
        <v>54</v>
      </c>
      <c r="AV37" s="16">
        <v>36.059522000000001</v>
      </c>
      <c r="AW37" s="16">
        <v>78.717112</v>
      </c>
    </row>
    <row r="38" spans="1:49" ht="14.1" customHeight="1" x14ac:dyDescent="0.2">
      <c r="A38" s="1" t="s">
        <v>78</v>
      </c>
      <c r="B38" s="1">
        <v>1466533.7735737001</v>
      </c>
      <c r="C38" s="1">
        <v>-333774.20314539899</v>
      </c>
      <c r="D38" s="1" t="s">
        <v>77</v>
      </c>
      <c r="E38" s="1">
        <v>2375053.6585566499</v>
      </c>
      <c r="F38" s="1" t="s">
        <v>51</v>
      </c>
      <c r="G38" s="1" t="s">
        <v>52</v>
      </c>
      <c r="H38" s="1" t="s">
        <v>53</v>
      </c>
      <c r="I38" s="1" t="s">
        <v>54</v>
      </c>
      <c r="J38" s="1">
        <v>9.5</v>
      </c>
      <c r="K38" s="1">
        <v>47.15</v>
      </c>
      <c r="L38" s="1" t="s">
        <v>55</v>
      </c>
      <c r="M38" s="2">
        <v>43395</v>
      </c>
      <c r="N38" s="3">
        <v>0.5131944444444444</v>
      </c>
      <c r="O38" s="4">
        <v>0.51138888888888889</v>
      </c>
      <c r="P38" s="2">
        <v>43396</v>
      </c>
      <c r="Q38" s="1">
        <v>40</v>
      </c>
      <c r="R38" s="1" t="s">
        <v>56</v>
      </c>
      <c r="S38" s="1">
        <v>4.5</v>
      </c>
      <c r="T38" s="1">
        <v>0.1</v>
      </c>
      <c r="U38" s="1">
        <v>19.5</v>
      </c>
      <c r="V38" s="1">
        <v>110.2</v>
      </c>
      <c r="W38" s="1">
        <v>10.19</v>
      </c>
      <c r="X38" s="1">
        <v>7.8E-2</v>
      </c>
      <c r="Y38" s="1">
        <v>7.46</v>
      </c>
      <c r="Z38" s="1" t="s">
        <v>54</v>
      </c>
      <c r="AA38" s="1">
        <v>6.7</v>
      </c>
      <c r="AB38" s="1">
        <v>14.9</v>
      </c>
      <c r="AC38" s="1">
        <v>4</v>
      </c>
      <c r="AD38" s="1">
        <v>18.7</v>
      </c>
      <c r="AE38" s="1">
        <v>86.5</v>
      </c>
      <c r="AF38" s="1">
        <v>8.09</v>
      </c>
      <c r="AG38" s="1">
        <v>0.08</v>
      </c>
      <c r="AH38" s="1">
        <v>7.49</v>
      </c>
      <c r="AI38" s="1" t="s">
        <v>54</v>
      </c>
      <c r="AJ38" s="1">
        <v>8.6</v>
      </c>
      <c r="AK38" s="1">
        <v>14.2</v>
      </c>
      <c r="AL38" s="1"/>
      <c r="AM38" s="11" t="s">
        <v>147</v>
      </c>
      <c r="AN38" s="11">
        <v>115</v>
      </c>
      <c r="AO38" s="11">
        <v>25</v>
      </c>
      <c r="AP38" s="11" t="s">
        <v>54</v>
      </c>
      <c r="AQ38" s="2">
        <v>43396</v>
      </c>
      <c r="AR38" s="3">
        <v>0.50486111111111109</v>
      </c>
      <c r="AS38" s="1">
        <v>1.5</v>
      </c>
      <c r="AT38" s="1" t="s">
        <v>54</v>
      </c>
      <c r="AU38" s="1" t="s">
        <v>54</v>
      </c>
      <c r="AV38" s="1">
        <v>36.022717</v>
      </c>
      <c r="AW38" s="1">
        <v>78.714644000000007</v>
      </c>
    </row>
    <row r="39" spans="1:49" ht="14.1" customHeight="1" x14ac:dyDescent="0.2">
      <c r="A39" s="16" t="s">
        <v>78</v>
      </c>
      <c r="B39" s="16">
        <v>1466533.7735737001</v>
      </c>
      <c r="C39" s="16">
        <v>-333774.20314539899</v>
      </c>
      <c r="D39" s="16" t="s">
        <v>77</v>
      </c>
      <c r="E39" s="16">
        <v>2375053.6585566499</v>
      </c>
      <c r="F39" s="16" t="s">
        <v>51</v>
      </c>
      <c r="G39" s="16" t="s">
        <v>52</v>
      </c>
      <c r="H39" s="16" t="s">
        <v>53</v>
      </c>
      <c r="I39" s="16" t="s">
        <v>54</v>
      </c>
      <c r="J39" s="16">
        <v>9.5</v>
      </c>
      <c r="K39" s="16">
        <v>47.15</v>
      </c>
      <c r="L39" s="16" t="s">
        <v>55</v>
      </c>
      <c r="M39" s="17">
        <v>43395</v>
      </c>
      <c r="N39" s="18">
        <v>0.5131944444444444</v>
      </c>
      <c r="O39" s="19">
        <v>0.51138888888888889</v>
      </c>
      <c r="P39" s="17">
        <v>43396</v>
      </c>
      <c r="Q39" s="16">
        <v>40</v>
      </c>
      <c r="R39" s="16" t="s">
        <v>56</v>
      </c>
      <c r="S39" s="16">
        <v>4.5</v>
      </c>
      <c r="T39" s="16">
        <v>0.1</v>
      </c>
      <c r="U39" s="16">
        <v>19.5</v>
      </c>
      <c r="V39" s="16">
        <v>110.2</v>
      </c>
      <c r="W39" s="16">
        <v>10.19</v>
      </c>
      <c r="X39" s="16">
        <v>7.8E-2</v>
      </c>
      <c r="Y39" s="16">
        <v>7.46</v>
      </c>
      <c r="Z39" s="16" t="s">
        <v>54</v>
      </c>
      <c r="AA39" s="16">
        <v>6.7</v>
      </c>
      <c r="AB39" s="16">
        <v>14.9</v>
      </c>
      <c r="AC39" s="16">
        <v>4</v>
      </c>
      <c r="AD39" s="16">
        <v>18.7</v>
      </c>
      <c r="AE39" s="16">
        <v>86.5</v>
      </c>
      <c r="AF39" s="16">
        <v>8.09</v>
      </c>
      <c r="AG39" s="16">
        <v>0.08</v>
      </c>
      <c r="AH39" s="16">
        <v>7.49</v>
      </c>
      <c r="AI39" s="16" t="s">
        <v>54</v>
      </c>
      <c r="AJ39" s="16">
        <v>8.6</v>
      </c>
      <c r="AK39" s="16">
        <v>14.2</v>
      </c>
      <c r="AL39" s="16"/>
      <c r="AM39" s="16" t="s">
        <v>173</v>
      </c>
      <c r="AN39" s="16"/>
      <c r="AO39" s="16">
        <v>115</v>
      </c>
      <c r="AP39" s="16">
        <v>25</v>
      </c>
      <c r="AQ39" s="17">
        <v>43396</v>
      </c>
      <c r="AR39" s="18">
        <v>0.50486111111111109</v>
      </c>
      <c r="AS39" s="16">
        <v>1.5</v>
      </c>
      <c r="AT39" s="16" t="s">
        <v>54</v>
      </c>
      <c r="AU39" s="16" t="s">
        <v>54</v>
      </c>
      <c r="AV39" s="16">
        <v>36.022717</v>
      </c>
      <c r="AW39" s="16">
        <v>78.714644000000007</v>
      </c>
    </row>
    <row r="40" spans="1:49" ht="14.1" customHeight="1" x14ac:dyDescent="0.2">
      <c r="A40" s="1" t="s">
        <v>79</v>
      </c>
      <c r="B40" s="1">
        <v>1478377.06828636</v>
      </c>
      <c r="C40" s="1">
        <v>-339448.92602312402</v>
      </c>
      <c r="D40" s="1" t="s">
        <v>58</v>
      </c>
      <c r="E40" s="1">
        <v>1714544.6322379201</v>
      </c>
      <c r="F40" s="1" t="s">
        <v>51</v>
      </c>
      <c r="G40" s="1" t="s">
        <v>52</v>
      </c>
      <c r="H40" s="1" t="s">
        <v>53</v>
      </c>
      <c r="I40" s="1" t="s">
        <v>54</v>
      </c>
      <c r="J40" s="1">
        <v>6.86</v>
      </c>
      <c r="K40" s="1">
        <v>68.05</v>
      </c>
      <c r="L40" s="1" t="s">
        <v>55</v>
      </c>
      <c r="M40" s="2">
        <v>43395</v>
      </c>
      <c r="N40" s="3">
        <v>0.59722222222222221</v>
      </c>
      <c r="O40" s="3">
        <v>0.60148148148148151</v>
      </c>
      <c r="P40" s="2">
        <v>43396</v>
      </c>
      <c r="Q40" s="1">
        <v>40</v>
      </c>
      <c r="R40" s="1" t="s">
        <v>56</v>
      </c>
      <c r="S40" s="1">
        <v>6.5</v>
      </c>
      <c r="T40" s="1">
        <v>0.1</v>
      </c>
      <c r="U40" s="1">
        <v>22.4</v>
      </c>
      <c r="V40" s="1">
        <v>87.9</v>
      </c>
      <c r="W40" s="1">
        <v>7.65</v>
      </c>
      <c r="X40" s="1">
        <v>8.5000000000000006E-2</v>
      </c>
      <c r="Y40" s="1">
        <v>7.21</v>
      </c>
      <c r="Z40" s="1" t="s">
        <v>54</v>
      </c>
      <c r="AA40" s="1">
        <v>4.7</v>
      </c>
      <c r="AB40" s="1">
        <v>9</v>
      </c>
      <c r="AC40" s="1" t="s">
        <v>54</v>
      </c>
      <c r="AD40" s="1" t="s">
        <v>54</v>
      </c>
      <c r="AE40" s="1" t="s">
        <v>54</v>
      </c>
      <c r="AF40" s="1" t="s">
        <v>54</v>
      </c>
      <c r="AG40" s="1" t="s">
        <v>54</v>
      </c>
      <c r="AH40" s="1" t="s">
        <v>54</v>
      </c>
      <c r="AI40" s="1" t="s">
        <v>54</v>
      </c>
      <c r="AJ40" s="1" t="s">
        <v>54</v>
      </c>
      <c r="AK40" s="1" t="s">
        <v>54</v>
      </c>
      <c r="AL40" s="1" t="s">
        <v>54</v>
      </c>
      <c r="AM40" s="1" t="s">
        <v>54</v>
      </c>
      <c r="AN40" s="1" t="s">
        <v>54</v>
      </c>
      <c r="AO40" s="1" t="s">
        <v>54</v>
      </c>
      <c r="AP40" s="1" t="s">
        <v>54</v>
      </c>
      <c r="AQ40" s="2">
        <v>43396</v>
      </c>
      <c r="AR40" s="3">
        <v>0.59652777777777777</v>
      </c>
      <c r="AS40" s="1">
        <v>25</v>
      </c>
      <c r="AT40" s="1" t="s">
        <v>80</v>
      </c>
      <c r="AU40" s="1"/>
      <c r="AV40" s="1">
        <v>35.956752999999999</v>
      </c>
      <c r="AW40" s="1">
        <v>78.590413999999996</v>
      </c>
    </row>
    <row r="41" spans="1:49" ht="14.1" customHeight="1" x14ac:dyDescent="0.2">
      <c r="A41" s="16" t="s">
        <v>79</v>
      </c>
      <c r="B41" s="16">
        <v>1478377.06828636</v>
      </c>
      <c r="C41" s="16">
        <v>-339448.92602312402</v>
      </c>
      <c r="D41" s="16" t="s">
        <v>58</v>
      </c>
      <c r="E41" s="16">
        <v>1714544.6322379201</v>
      </c>
      <c r="F41" s="16" t="s">
        <v>51</v>
      </c>
      <c r="G41" s="16" t="s">
        <v>52</v>
      </c>
      <c r="H41" s="16" t="s">
        <v>53</v>
      </c>
      <c r="I41" s="16" t="s">
        <v>54</v>
      </c>
      <c r="J41" s="16">
        <v>6.86</v>
      </c>
      <c r="K41" s="16">
        <v>68.05</v>
      </c>
      <c r="L41" s="16" t="s">
        <v>55</v>
      </c>
      <c r="M41" s="17">
        <v>43395</v>
      </c>
      <c r="N41" s="18">
        <v>0.59722222222222221</v>
      </c>
      <c r="O41" s="18">
        <v>0.60148148148148151</v>
      </c>
      <c r="P41" s="17">
        <v>43396</v>
      </c>
      <c r="Q41" s="16">
        <v>40</v>
      </c>
      <c r="R41" s="16" t="s">
        <v>56</v>
      </c>
      <c r="S41" s="16">
        <v>6.5</v>
      </c>
      <c r="T41" s="16">
        <v>0.1</v>
      </c>
      <c r="U41" s="16">
        <v>22.4</v>
      </c>
      <c r="V41" s="16">
        <v>87.9</v>
      </c>
      <c r="W41" s="16">
        <v>7.65</v>
      </c>
      <c r="X41" s="16">
        <v>8.5000000000000006E-2</v>
      </c>
      <c r="Y41" s="16">
        <v>7.21</v>
      </c>
      <c r="Z41" s="16" t="s">
        <v>54</v>
      </c>
      <c r="AA41" s="16">
        <v>4.7</v>
      </c>
      <c r="AB41" s="16">
        <v>9</v>
      </c>
      <c r="AC41" s="16" t="s">
        <v>54</v>
      </c>
      <c r="AD41" s="16" t="s">
        <v>54</v>
      </c>
      <c r="AE41" s="16" t="s">
        <v>54</v>
      </c>
      <c r="AF41" s="16" t="s">
        <v>54</v>
      </c>
      <c r="AG41" s="16" t="s">
        <v>54</v>
      </c>
      <c r="AH41" s="16" t="s">
        <v>54</v>
      </c>
      <c r="AI41" s="16" t="s">
        <v>54</v>
      </c>
      <c r="AJ41" s="16" t="s">
        <v>54</v>
      </c>
      <c r="AK41" s="16" t="s">
        <v>54</v>
      </c>
      <c r="AL41" s="16" t="s">
        <v>54</v>
      </c>
      <c r="AM41" s="16" t="s">
        <v>54</v>
      </c>
      <c r="AN41" s="16" t="s">
        <v>54</v>
      </c>
      <c r="AO41" s="16" t="s">
        <v>54</v>
      </c>
      <c r="AP41" s="16" t="s">
        <v>54</v>
      </c>
      <c r="AQ41" s="17">
        <v>43396</v>
      </c>
      <c r="AR41" s="18">
        <v>0.59652777777777777</v>
      </c>
      <c r="AS41" s="16">
        <v>25</v>
      </c>
      <c r="AT41" s="16" t="s">
        <v>80</v>
      </c>
      <c r="AU41" s="16"/>
      <c r="AV41" s="16">
        <v>35.956752999999999</v>
      </c>
      <c r="AW41" s="16">
        <v>78.590413999999996</v>
      </c>
    </row>
    <row r="42" spans="1:49" ht="14.1" customHeight="1" x14ac:dyDescent="0.2">
      <c r="A42" t="s">
        <v>81</v>
      </c>
      <c r="B42">
        <v>1471872.15090678</v>
      </c>
      <c r="C42">
        <v>-338986.10051671602</v>
      </c>
      <c r="D42" t="s">
        <v>50</v>
      </c>
      <c r="E42">
        <v>1539862.4160863401</v>
      </c>
      <c r="F42" t="s">
        <v>51</v>
      </c>
      <c r="G42" s="11" t="s">
        <v>164</v>
      </c>
      <c r="H42" s="11" t="s">
        <v>163</v>
      </c>
      <c r="I42" t="s">
        <v>54</v>
      </c>
      <c r="J42">
        <v>6.16</v>
      </c>
      <c r="K42">
        <v>74.88</v>
      </c>
      <c r="L42" t="s">
        <v>55</v>
      </c>
    </row>
    <row r="43" spans="1:49" ht="14.1" customHeight="1" x14ac:dyDescent="0.2">
      <c r="A43" s="16" t="s">
        <v>81</v>
      </c>
      <c r="B43" s="16">
        <v>1471872.15090678</v>
      </c>
      <c r="C43" s="16">
        <v>-338986.10051671602</v>
      </c>
      <c r="D43" s="16" t="s">
        <v>50</v>
      </c>
      <c r="E43" s="16">
        <v>1539862.4160863401</v>
      </c>
      <c r="F43" s="16" t="s">
        <v>51</v>
      </c>
      <c r="G43" s="16" t="s">
        <v>174</v>
      </c>
      <c r="H43" s="16" t="s">
        <v>170</v>
      </c>
      <c r="I43" s="16" t="s">
        <v>54</v>
      </c>
      <c r="J43" s="16">
        <v>6.16</v>
      </c>
      <c r="K43" s="16">
        <v>74.88</v>
      </c>
      <c r="L43" s="16" t="s">
        <v>55</v>
      </c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</row>
    <row r="44" spans="1:49" ht="14.1" customHeight="1" x14ac:dyDescent="0.2">
      <c r="A44" t="s">
        <v>82</v>
      </c>
      <c r="B44">
        <v>1466003.63560483</v>
      </c>
      <c r="C44">
        <v>-327517.832149936</v>
      </c>
      <c r="D44" t="s">
        <v>77</v>
      </c>
      <c r="E44">
        <v>2375053.6585566499</v>
      </c>
      <c r="F44" t="s">
        <v>51</v>
      </c>
      <c r="G44" s="11" t="s">
        <v>164</v>
      </c>
      <c r="H44" s="11" t="s">
        <v>163</v>
      </c>
      <c r="I44" t="s">
        <v>54</v>
      </c>
      <c r="J44">
        <v>9.5</v>
      </c>
      <c r="K44">
        <v>47.15</v>
      </c>
      <c r="L44" t="s">
        <v>55</v>
      </c>
    </row>
    <row r="45" spans="1:49" ht="14.1" customHeight="1" x14ac:dyDescent="0.2">
      <c r="A45" s="16" t="s">
        <v>82</v>
      </c>
      <c r="B45" s="16">
        <v>1466003.63560483</v>
      </c>
      <c r="C45" s="16">
        <v>-327517.832149936</v>
      </c>
      <c r="D45" s="16" t="s">
        <v>77</v>
      </c>
      <c r="E45" s="16">
        <v>2375053.6585566499</v>
      </c>
      <c r="F45" s="16" t="s">
        <v>51</v>
      </c>
      <c r="G45" s="16" t="s">
        <v>174</v>
      </c>
      <c r="H45" s="16" t="s">
        <v>170</v>
      </c>
      <c r="I45" s="16" t="s">
        <v>54</v>
      </c>
      <c r="J45" s="16">
        <v>9.5</v>
      </c>
      <c r="K45" s="16">
        <v>47.15</v>
      </c>
      <c r="L45" s="16" t="s">
        <v>55</v>
      </c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</row>
    <row r="46" spans="1:49" ht="14.1" customHeight="1" x14ac:dyDescent="0.2">
      <c r="A46" t="s">
        <v>83</v>
      </c>
      <c r="B46">
        <v>1466635.3671118</v>
      </c>
      <c r="C46">
        <v>-336541.13084608997</v>
      </c>
      <c r="D46" t="s">
        <v>77</v>
      </c>
      <c r="E46">
        <v>2375053.6585566499</v>
      </c>
      <c r="F46" t="s">
        <v>51</v>
      </c>
      <c r="G46" s="11" t="s">
        <v>164</v>
      </c>
      <c r="H46" s="11" t="s">
        <v>163</v>
      </c>
      <c r="I46" t="s">
        <v>54</v>
      </c>
      <c r="J46">
        <v>9.5</v>
      </c>
      <c r="K46">
        <v>47.15</v>
      </c>
      <c r="L46" t="s">
        <v>55</v>
      </c>
    </row>
    <row r="47" spans="1:49" ht="14.1" customHeight="1" x14ac:dyDescent="0.2">
      <c r="A47" s="16" t="s">
        <v>83</v>
      </c>
      <c r="B47" s="16">
        <v>1466635.3671118</v>
      </c>
      <c r="C47" s="16">
        <v>-336541.13084608997</v>
      </c>
      <c r="D47" s="16" t="s">
        <v>77</v>
      </c>
      <c r="E47" s="16">
        <v>2375053.6585566499</v>
      </c>
      <c r="F47" s="16" t="s">
        <v>51</v>
      </c>
      <c r="G47" s="16" t="s">
        <v>174</v>
      </c>
      <c r="H47" s="16" t="s">
        <v>170</v>
      </c>
      <c r="I47" s="16" t="s">
        <v>54</v>
      </c>
      <c r="J47" s="16">
        <v>9.5</v>
      </c>
      <c r="K47" s="16">
        <v>47.15</v>
      </c>
      <c r="L47" s="16" t="s">
        <v>55</v>
      </c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</row>
    <row r="48" spans="1:49" ht="14.1" customHeight="1" x14ac:dyDescent="0.2">
      <c r="A48" t="s">
        <v>84</v>
      </c>
      <c r="B48">
        <v>1464697.6796671201</v>
      </c>
      <c r="C48">
        <v>-334213.45571926102</v>
      </c>
      <c r="D48" t="s">
        <v>60</v>
      </c>
      <c r="E48">
        <v>2431945.9785411698</v>
      </c>
      <c r="F48" t="s">
        <v>51</v>
      </c>
      <c r="G48" s="11" t="s">
        <v>164</v>
      </c>
      <c r="H48" s="11" t="s">
        <v>163</v>
      </c>
      <c r="I48" t="s">
        <v>54</v>
      </c>
      <c r="J48">
        <v>9.73</v>
      </c>
      <c r="K48">
        <v>34.1</v>
      </c>
      <c r="L48" t="s">
        <v>55</v>
      </c>
    </row>
    <row r="49" spans="1:49" s="1" customFormat="1" ht="14.1" customHeight="1" x14ac:dyDescent="0.2">
      <c r="A49" s="16" t="s">
        <v>84</v>
      </c>
      <c r="B49" s="16">
        <v>1464697.6796671201</v>
      </c>
      <c r="C49" s="16">
        <v>-334213.45571926102</v>
      </c>
      <c r="D49" s="16" t="s">
        <v>60</v>
      </c>
      <c r="E49" s="16">
        <v>2431945.9785411698</v>
      </c>
      <c r="F49" s="16" t="s">
        <v>51</v>
      </c>
      <c r="G49" s="16" t="s">
        <v>174</v>
      </c>
      <c r="H49" s="16" t="s">
        <v>170</v>
      </c>
      <c r="I49" s="16" t="s">
        <v>54</v>
      </c>
      <c r="J49" s="16">
        <v>9.73</v>
      </c>
      <c r="K49" s="16">
        <v>34.1</v>
      </c>
      <c r="L49" s="16" t="s">
        <v>55</v>
      </c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</row>
    <row r="50" spans="1:49" s="1" customFormat="1" ht="14.1" customHeight="1" x14ac:dyDescent="0.2">
      <c r="A50" s="1" t="s">
        <v>85</v>
      </c>
      <c r="B50" s="1">
        <v>1474071.4814560099</v>
      </c>
      <c r="C50" s="1">
        <v>-334051.12480065803</v>
      </c>
      <c r="D50" s="1" t="s">
        <v>50</v>
      </c>
      <c r="E50" s="1">
        <v>1539862.4160863401</v>
      </c>
      <c r="F50" s="1" t="s">
        <v>51</v>
      </c>
      <c r="G50" s="11" t="s">
        <v>164</v>
      </c>
      <c r="H50" s="11" t="s">
        <v>53</v>
      </c>
      <c r="I50" s="1" t="s">
        <v>54</v>
      </c>
      <c r="J50" s="1">
        <v>6.16</v>
      </c>
      <c r="K50" s="1">
        <v>74.88</v>
      </c>
      <c r="L50" s="1" t="s">
        <v>55</v>
      </c>
      <c r="M50" s="2">
        <v>43395</v>
      </c>
      <c r="N50" s="3">
        <v>0.55555555555555558</v>
      </c>
      <c r="O50" s="4">
        <v>0.55202546296296295</v>
      </c>
      <c r="P50" s="2">
        <v>43396</v>
      </c>
      <c r="Q50" s="1">
        <v>40</v>
      </c>
      <c r="R50" s="1" t="s">
        <v>56</v>
      </c>
      <c r="S50" s="1">
        <v>2.7</v>
      </c>
      <c r="T50" s="1">
        <v>0.1</v>
      </c>
      <c r="U50" s="1">
        <v>20.100000000000001</v>
      </c>
      <c r="V50" s="1">
        <v>93.2</v>
      </c>
      <c r="W50" s="1">
        <v>8.4499999999999993</v>
      </c>
      <c r="X50" s="1">
        <v>8.6999999999999994E-2</v>
      </c>
      <c r="Y50" s="1">
        <v>7.31</v>
      </c>
      <c r="Z50" s="1" t="s">
        <v>54</v>
      </c>
      <c r="AA50" s="1">
        <v>10</v>
      </c>
      <c r="AB50" s="1">
        <v>17.2</v>
      </c>
      <c r="AC50" s="1" t="s">
        <v>54</v>
      </c>
      <c r="AD50" s="1" t="s">
        <v>54</v>
      </c>
      <c r="AE50" s="1" t="s">
        <v>54</v>
      </c>
      <c r="AF50" s="1" t="s">
        <v>54</v>
      </c>
      <c r="AG50" s="1" t="s">
        <v>54</v>
      </c>
      <c r="AH50" s="1" t="s">
        <v>54</v>
      </c>
      <c r="AI50" s="1" t="s">
        <v>54</v>
      </c>
      <c r="AJ50" s="1" t="s">
        <v>54</v>
      </c>
      <c r="AK50" s="1" t="s">
        <v>54</v>
      </c>
      <c r="AL50" s="1" t="s">
        <v>54</v>
      </c>
      <c r="AM50" s="1" t="s">
        <v>54</v>
      </c>
      <c r="AN50" s="1" t="s">
        <v>54</v>
      </c>
      <c r="AO50" s="1" t="s">
        <v>54</v>
      </c>
      <c r="AP50" s="1" t="s">
        <v>54</v>
      </c>
      <c r="AQ50" s="2">
        <v>43396</v>
      </c>
      <c r="AR50" s="3">
        <v>0.53819444444444442</v>
      </c>
      <c r="AS50" s="1">
        <v>9</v>
      </c>
      <c r="AT50" s="1" t="s">
        <v>54</v>
      </c>
      <c r="AU50" s="1" t="s">
        <v>54</v>
      </c>
      <c r="AV50" s="1">
        <v>36.008949999999999</v>
      </c>
      <c r="AW50" s="1">
        <v>78.628191999999999</v>
      </c>
    </row>
    <row r="51" spans="1:49" s="1" customFormat="1" ht="14.1" customHeight="1" x14ac:dyDescent="0.2">
      <c r="A51" s="16" t="s">
        <v>85</v>
      </c>
      <c r="B51" s="16">
        <v>1474071.4814560099</v>
      </c>
      <c r="C51" s="16">
        <v>-334051.12480065803</v>
      </c>
      <c r="D51" s="16" t="s">
        <v>50</v>
      </c>
      <c r="E51" s="16">
        <v>1539862.4160863401</v>
      </c>
      <c r="F51" s="16" t="s">
        <v>51</v>
      </c>
      <c r="G51" s="16" t="s">
        <v>174</v>
      </c>
      <c r="H51" s="16" t="s">
        <v>170</v>
      </c>
      <c r="I51" s="16" t="s">
        <v>54</v>
      </c>
      <c r="J51" s="16">
        <v>6.16</v>
      </c>
      <c r="K51" s="16">
        <v>74.88</v>
      </c>
      <c r="L51" s="16" t="s">
        <v>55</v>
      </c>
      <c r="M51" s="17">
        <v>43395</v>
      </c>
      <c r="N51" s="18">
        <v>0.55555555555555558</v>
      </c>
      <c r="O51" s="19">
        <v>0.55202546296296295</v>
      </c>
      <c r="P51" s="17">
        <v>43396</v>
      </c>
      <c r="Q51" s="16">
        <v>40</v>
      </c>
      <c r="R51" s="16" t="s">
        <v>56</v>
      </c>
      <c r="S51" s="16">
        <v>2.7</v>
      </c>
      <c r="T51" s="16">
        <v>0.1</v>
      </c>
      <c r="U51" s="16">
        <v>20.100000000000001</v>
      </c>
      <c r="V51" s="16">
        <v>93.2</v>
      </c>
      <c r="W51" s="16">
        <v>8.4499999999999993</v>
      </c>
      <c r="X51" s="16">
        <v>8.6999999999999994E-2</v>
      </c>
      <c r="Y51" s="16">
        <v>7.31</v>
      </c>
      <c r="Z51" s="16" t="s">
        <v>54</v>
      </c>
      <c r="AA51" s="16">
        <v>10</v>
      </c>
      <c r="AB51" s="16">
        <v>17.2</v>
      </c>
      <c r="AC51" s="16" t="s">
        <v>54</v>
      </c>
      <c r="AD51" s="16" t="s">
        <v>54</v>
      </c>
      <c r="AE51" s="16" t="s">
        <v>54</v>
      </c>
      <c r="AF51" s="16" t="s">
        <v>54</v>
      </c>
      <c r="AG51" s="16" t="s">
        <v>54</v>
      </c>
      <c r="AH51" s="16" t="s">
        <v>54</v>
      </c>
      <c r="AI51" s="16" t="s">
        <v>54</v>
      </c>
      <c r="AJ51" s="16" t="s">
        <v>54</v>
      </c>
      <c r="AK51" s="16" t="s">
        <v>54</v>
      </c>
      <c r="AL51" s="16" t="s">
        <v>54</v>
      </c>
      <c r="AM51" s="16" t="s">
        <v>54</v>
      </c>
      <c r="AN51" s="16" t="s">
        <v>54</v>
      </c>
      <c r="AO51" s="16" t="s">
        <v>54</v>
      </c>
      <c r="AP51" s="16" t="s">
        <v>54</v>
      </c>
      <c r="AQ51" s="17">
        <v>43396</v>
      </c>
      <c r="AR51" s="18">
        <v>0.53819444444444442</v>
      </c>
      <c r="AS51" s="16">
        <v>9</v>
      </c>
      <c r="AT51" s="16" t="s">
        <v>54</v>
      </c>
      <c r="AU51" s="16" t="s">
        <v>54</v>
      </c>
      <c r="AV51" s="16">
        <v>36.008949999999999</v>
      </c>
      <c r="AW51" s="16">
        <v>78.628191999999999</v>
      </c>
    </row>
    <row r="52" spans="1:49" s="1" customFormat="1" ht="14.1" customHeight="1" x14ac:dyDescent="0.2">
      <c r="A52" t="s">
        <v>86</v>
      </c>
      <c r="B52">
        <v>1463782.19599281</v>
      </c>
      <c r="C52">
        <v>-333650.36326726701</v>
      </c>
      <c r="D52" t="s">
        <v>60</v>
      </c>
      <c r="E52">
        <v>2431945.9785411698</v>
      </c>
      <c r="F52" t="s">
        <v>51</v>
      </c>
      <c r="G52" s="11" t="s">
        <v>164</v>
      </c>
      <c r="H52" s="11" t="s">
        <v>163</v>
      </c>
      <c r="I52" t="s">
        <v>54</v>
      </c>
      <c r="J52">
        <v>9.73</v>
      </c>
      <c r="K52">
        <v>34.1</v>
      </c>
      <c r="L52" t="s">
        <v>55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</row>
    <row r="53" spans="1:49" s="1" customFormat="1" ht="14.1" customHeight="1" x14ac:dyDescent="0.2">
      <c r="A53" s="16" t="s">
        <v>86</v>
      </c>
      <c r="B53" s="16">
        <v>1463782.19599281</v>
      </c>
      <c r="C53" s="16">
        <v>-333650.36326726701</v>
      </c>
      <c r="D53" s="16" t="s">
        <v>60</v>
      </c>
      <c r="E53" s="16">
        <v>2431945.9785411698</v>
      </c>
      <c r="F53" s="16" t="s">
        <v>51</v>
      </c>
      <c r="G53" s="16" t="s">
        <v>174</v>
      </c>
      <c r="H53" s="16" t="s">
        <v>170</v>
      </c>
      <c r="I53" s="16" t="s">
        <v>54</v>
      </c>
      <c r="J53" s="16">
        <v>9.73</v>
      </c>
      <c r="K53" s="16">
        <v>34.1</v>
      </c>
      <c r="L53" s="16" t="s">
        <v>55</v>
      </c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</row>
    <row r="54" spans="1:49" ht="14.1" customHeight="1" x14ac:dyDescent="0.2">
      <c r="A54" t="s">
        <v>87</v>
      </c>
      <c r="B54">
        <v>1466637.8331307599</v>
      </c>
      <c r="C54">
        <v>-333258.80687149602</v>
      </c>
      <c r="D54" t="s">
        <v>77</v>
      </c>
      <c r="E54">
        <v>2375053.6585566499</v>
      </c>
      <c r="F54" t="s">
        <v>51</v>
      </c>
      <c r="G54" s="11" t="s">
        <v>164</v>
      </c>
      <c r="H54" s="11" t="s">
        <v>163</v>
      </c>
      <c r="I54" t="s">
        <v>54</v>
      </c>
      <c r="J54">
        <v>9.5</v>
      </c>
      <c r="K54">
        <v>47.15</v>
      </c>
      <c r="L54" t="s">
        <v>55</v>
      </c>
    </row>
    <row r="55" spans="1:49" s="1" customFormat="1" ht="14.1" customHeight="1" x14ac:dyDescent="0.2">
      <c r="A55" s="16" t="s">
        <v>87</v>
      </c>
      <c r="B55" s="16">
        <v>1466637.8331307599</v>
      </c>
      <c r="C55" s="16">
        <v>-333258.80687149602</v>
      </c>
      <c r="D55" s="16" t="s">
        <v>77</v>
      </c>
      <c r="E55" s="16">
        <v>2375053.6585566499</v>
      </c>
      <c r="F55" s="16" t="s">
        <v>51</v>
      </c>
      <c r="G55" s="16" t="s">
        <v>174</v>
      </c>
      <c r="H55" s="16" t="s">
        <v>170</v>
      </c>
      <c r="I55" s="16" t="s">
        <v>54</v>
      </c>
      <c r="J55" s="16">
        <v>9.5</v>
      </c>
      <c r="K55" s="16">
        <v>47.15</v>
      </c>
      <c r="L55" s="16" t="s">
        <v>55</v>
      </c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</row>
    <row r="56" spans="1:49" ht="14.1" customHeight="1" x14ac:dyDescent="0.2">
      <c r="A56" s="1" t="s">
        <v>88</v>
      </c>
      <c r="B56" s="1">
        <v>1478871.1743478</v>
      </c>
      <c r="C56" s="1">
        <v>-341117.28595644399</v>
      </c>
      <c r="D56" s="1" t="s">
        <v>58</v>
      </c>
      <c r="E56" s="1">
        <v>1714544.6322379201</v>
      </c>
      <c r="F56" s="1" t="s">
        <v>51</v>
      </c>
      <c r="G56" s="11" t="s">
        <v>164</v>
      </c>
      <c r="H56" s="1" t="s">
        <v>53</v>
      </c>
      <c r="I56" s="1" t="s">
        <v>54</v>
      </c>
      <c r="J56" s="1">
        <v>6.86</v>
      </c>
      <c r="K56" s="1">
        <v>68.05</v>
      </c>
      <c r="L56" s="1" t="s">
        <v>55</v>
      </c>
      <c r="M56" s="2">
        <v>43395</v>
      </c>
      <c r="N56" s="3">
        <v>0.60416666666666663</v>
      </c>
      <c r="O56" s="3">
        <v>0.61114583333333339</v>
      </c>
      <c r="P56" s="2">
        <v>43396</v>
      </c>
      <c r="Q56" s="1">
        <v>40</v>
      </c>
      <c r="R56" s="1" t="s">
        <v>56</v>
      </c>
      <c r="S56" s="1">
        <v>2.2999999999999998</v>
      </c>
      <c r="T56" s="1">
        <v>0.1</v>
      </c>
      <c r="U56" s="1">
        <v>21.7</v>
      </c>
      <c r="V56" s="1">
        <v>69.099999999999994</v>
      </c>
      <c r="W56" s="1">
        <v>6.14</v>
      </c>
      <c r="X56" s="1">
        <v>8.5000000000000006E-2</v>
      </c>
      <c r="Y56" s="1">
        <v>7.23</v>
      </c>
      <c r="Z56" s="1" t="s">
        <v>54</v>
      </c>
      <c r="AA56" s="1">
        <v>4.8</v>
      </c>
      <c r="AB56" s="1">
        <v>8.1999999999999993</v>
      </c>
      <c r="AC56" s="1" t="s">
        <v>54</v>
      </c>
      <c r="AD56" s="1" t="s">
        <v>54</v>
      </c>
      <c r="AE56" s="1" t="s">
        <v>54</v>
      </c>
      <c r="AF56" s="1" t="s">
        <v>54</v>
      </c>
      <c r="AG56" s="1" t="s">
        <v>54</v>
      </c>
      <c r="AH56" s="1" t="s">
        <v>54</v>
      </c>
      <c r="AI56" s="1" t="s">
        <v>54</v>
      </c>
      <c r="AJ56" s="1" t="s">
        <v>54</v>
      </c>
      <c r="AK56" s="1" t="s">
        <v>54</v>
      </c>
      <c r="AL56" s="1" t="s">
        <v>54</v>
      </c>
      <c r="AM56" s="1" t="s">
        <v>54</v>
      </c>
      <c r="AN56" s="1" t="s">
        <v>54</v>
      </c>
      <c r="AO56" s="1" t="s">
        <v>54</v>
      </c>
      <c r="AP56" s="1" t="s">
        <v>54</v>
      </c>
      <c r="AQ56" s="2">
        <v>43396</v>
      </c>
      <c r="AR56" s="3">
        <v>0.60416666666666663</v>
      </c>
      <c r="AS56" s="1" t="s">
        <v>54</v>
      </c>
      <c r="AT56" s="1" t="s">
        <v>54</v>
      </c>
      <c r="AU56" s="1" t="s">
        <v>54</v>
      </c>
      <c r="AV56" s="1">
        <v>35.941994999999999</v>
      </c>
      <c r="AW56" s="1">
        <v>78.588159000000005</v>
      </c>
    </row>
    <row r="57" spans="1:49" s="1" customFormat="1" ht="14.1" customHeight="1" x14ac:dyDescent="0.2">
      <c r="A57" s="16" t="s">
        <v>88</v>
      </c>
      <c r="B57" s="16">
        <v>1478871.1743478</v>
      </c>
      <c r="C57" s="16">
        <v>-341117.28595644399</v>
      </c>
      <c r="D57" s="16" t="s">
        <v>58</v>
      </c>
      <c r="E57" s="16">
        <v>1714544.6322379201</v>
      </c>
      <c r="F57" s="16" t="s">
        <v>51</v>
      </c>
      <c r="G57" s="16" t="s">
        <v>174</v>
      </c>
      <c r="H57" s="16" t="s">
        <v>53</v>
      </c>
      <c r="I57" s="16" t="s">
        <v>54</v>
      </c>
      <c r="J57" s="16">
        <v>6.86</v>
      </c>
      <c r="K57" s="16">
        <v>68.05</v>
      </c>
      <c r="L57" s="16" t="s">
        <v>55</v>
      </c>
      <c r="M57" s="17">
        <v>43395</v>
      </c>
      <c r="N57" s="18">
        <v>0.60416666666666663</v>
      </c>
      <c r="O57" s="18">
        <v>0.61114583333333339</v>
      </c>
      <c r="P57" s="17">
        <v>43396</v>
      </c>
      <c r="Q57" s="16">
        <v>40</v>
      </c>
      <c r="R57" s="16" t="s">
        <v>56</v>
      </c>
      <c r="S57" s="16">
        <v>2.2999999999999998</v>
      </c>
      <c r="T57" s="16">
        <v>0.1</v>
      </c>
      <c r="U57" s="16">
        <v>21.7</v>
      </c>
      <c r="V57" s="16">
        <v>69.099999999999994</v>
      </c>
      <c r="W57" s="16">
        <v>6.14</v>
      </c>
      <c r="X57" s="16">
        <v>8.5000000000000006E-2</v>
      </c>
      <c r="Y57" s="16">
        <v>7.23</v>
      </c>
      <c r="Z57" s="16" t="s">
        <v>54</v>
      </c>
      <c r="AA57" s="16">
        <v>4.8</v>
      </c>
      <c r="AB57" s="16">
        <v>8.1999999999999993</v>
      </c>
      <c r="AC57" s="16" t="s">
        <v>54</v>
      </c>
      <c r="AD57" s="16" t="s">
        <v>54</v>
      </c>
      <c r="AE57" s="16" t="s">
        <v>54</v>
      </c>
      <c r="AF57" s="16" t="s">
        <v>54</v>
      </c>
      <c r="AG57" s="16" t="s">
        <v>54</v>
      </c>
      <c r="AH57" s="16" t="s">
        <v>54</v>
      </c>
      <c r="AI57" s="16" t="s">
        <v>54</v>
      </c>
      <c r="AJ57" s="16" t="s">
        <v>54</v>
      </c>
      <c r="AK57" s="16" t="s">
        <v>54</v>
      </c>
      <c r="AL57" s="16" t="s">
        <v>54</v>
      </c>
      <c r="AM57" s="16" t="s">
        <v>54</v>
      </c>
      <c r="AN57" s="16" t="s">
        <v>54</v>
      </c>
      <c r="AO57" s="16" t="s">
        <v>54</v>
      </c>
      <c r="AP57" s="16" t="s">
        <v>54</v>
      </c>
      <c r="AQ57" s="17">
        <v>43396</v>
      </c>
      <c r="AR57" s="18">
        <v>0.60416666666666663</v>
      </c>
      <c r="AS57" s="16" t="s">
        <v>54</v>
      </c>
      <c r="AT57" s="16" t="s">
        <v>54</v>
      </c>
      <c r="AU57" s="16" t="s">
        <v>54</v>
      </c>
      <c r="AV57" s="16">
        <v>35.941994999999999</v>
      </c>
      <c r="AW57" s="16">
        <v>78.588159000000005</v>
      </c>
    </row>
    <row r="58" spans="1:49" s="1" customFormat="1" ht="14.1" customHeight="1" x14ac:dyDescent="0.2">
      <c r="A58" t="s">
        <v>89</v>
      </c>
      <c r="B58">
        <v>1474281.8653448599</v>
      </c>
      <c r="C58">
        <v>-338339.82420366898</v>
      </c>
      <c r="D58" t="s">
        <v>50</v>
      </c>
      <c r="E58">
        <v>1539862.4160863401</v>
      </c>
      <c r="F58" t="s">
        <v>51</v>
      </c>
      <c r="G58" s="11" t="s">
        <v>164</v>
      </c>
      <c r="H58" s="11" t="s">
        <v>163</v>
      </c>
      <c r="I58" t="s">
        <v>54</v>
      </c>
      <c r="J58">
        <v>6.16</v>
      </c>
      <c r="K58">
        <v>74.88</v>
      </c>
      <c r="L58" t="s">
        <v>55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</row>
    <row r="59" spans="1:49" ht="14.1" customHeight="1" x14ac:dyDescent="0.2">
      <c r="A59" s="16" t="s">
        <v>89</v>
      </c>
      <c r="B59" s="16">
        <v>1474281.8653448599</v>
      </c>
      <c r="C59" s="16">
        <v>-338339.82420366898</v>
      </c>
      <c r="D59" s="16" t="s">
        <v>50</v>
      </c>
      <c r="E59" s="16">
        <v>1539862.4160863401</v>
      </c>
      <c r="F59" s="16" t="s">
        <v>51</v>
      </c>
      <c r="G59" s="16" t="s">
        <v>174</v>
      </c>
      <c r="H59" s="16" t="s">
        <v>170</v>
      </c>
      <c r="I59" s="16" t="s">
        <v>54</v>
      </c>
      <c r="J59" s="16">
        <v>6.16</v>
      </c>
      <c r="K59" s="16">
        <v>74.88</v>
      </c>
      <c r="L59" s="16" t="s">
        <v>55</v>
      </c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</row>
    <row r="60" spans="1:49" s="1" customFormat="1" ht="14.1" customHeight="1" x14ac:dyDescent="0.2">
      <c r="A60" t="s">
        <v>90</v>
      </c>
      <c r="B60">
        <v>1476916.2227235101</v>
      </c>
      <c r="C60">
        <v>-339083.98957078002</v>
      </c>
      <c r="D60" t="s">
        <v>58</v>
      </c>
      <c r="E60">
        <v>1714544.6322379201</v>
      </c>
      <c r="F60" t="s">
        <v>51</v>
      </c>
      <c r="G60" s="11" t="s">
        <v>164</v>
      </c>
      <c r="H60" s="11" t="s">
        <v>163</v>
      </c>
      <c r="I60" t="s">
        <v>54</v>
      </c>
      <c r="J60">
        <v>6.86</v>
      </c>
      <c r="K60">
        <v>68.05</v>
      </c>
      <c r="L60" t="s">
        <v>55</v>
      </c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</row>
    <row r="61" spans="1:49" s="1" customFormat="1" ht="14.1" customHeight="1" x14ac:dyDescent="0.2">
      <c r="A61" s="16" t="s">
        <v>90</v>
      </c>
      <c r="B61" s="16">
        <v>1476916.2227235101</v>
      </c>
      <c r="C61" s="16">
        <v>-339083.98957078002</v>
      </c>
      <c r="D61" s="16" t="s">
        <v>58</v>
      </c>
      <c r="E61" s="16">
        <v>1714544.6322379201</v>
      </c>
      <c r="F61" s="16" t="s">
        <v>51</v>
      </c>
      <c r="G61" s="16" t="s">
        <v>174</v>
      </c>
      <c r="H61" s="16" t="s">
        <v>170</v>
      </c>
      <c r="I61" s="16" t="s">
        <v>54</v>
      </c>
      <c r="J61" s="16">
        <v>6.86</v>
      </c>
      <c r="K61" s="16">
        <v>68.05</v>
      </c>
      <c r="L61" s="16" t="s">
        <v>55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</row>
    <row r="62" spans="1:49" s="1" customFormat="1" ht="14.1" customHeight="1" x14ac:dyDescent="0.2">
      <c r="A62" t="s">
        <v>91</v>
      </c>
      <c r="B62">
        <v>1465137.89120007</v>
      </c>
      <c r="C62">
        <v>-332813.54121366597</v>
      </c>
      <c r="D62" t="s">
        <v>60</v>
      </c>
      <c r="E62">
        <v>2431945.9785411698</v>
      </c>
      <c r="F62" t="s">
        <v>51</v>
      </c>
      <c r="G62" s="11" t="s">
        <v>164</v>
      </c>
      <c r="H62" s="11" t="s">
        <v>163</v>
      </c>
      <c r="I62" t="s">
        <v>54</v>
      </c>
      <c r="J62">
        <v>9.73</v>
      </c>
      <c r="K62">
        <v>34.1</v>
      </c>
      <c r="L62" t="s">
        <v>55</v>
      </c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</row>
    <row r="63" spans="1:49" s="1" customFormat="1" ht="14.1" customHeight="1" x14ac:dyDescent="0.2">
      <c r="A63" s="16" t="s">
        <v>91</v>
      </c>
      <c r="B63" s="16">
        <v>1465137.89120007</v>
      </c>
      <c r="C63" s="16">
        <v>-332813.54121366597</v>
      </c>
      <c r="D63" s="16" t="s">
        <v>60</v>
      </c>
      <c r="E63" s="16">
        <v>2431945.9785411698</v>
      </c>
      <c r="F63" s="16" t="s">
        <v>51</v>
      </c>
      <c r="G63" s="16" t="s">
        <v>174</v>
      </c>
      <c r="H63" s="16" t="s">
        <v>170</v>
      </c>
      <c r="I63" s="16" t="s">
        <v>54</v>
      </c>
      <c r="J63" s="16">
        <v>9.73</v>
      </c>
      <c r="K63" s="16">
        <v>34.1</v>
      </c>
      <c r="L63" s="16" t="s">
        <v>55</v>
      </c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</row>
    <row r="64" spans="1:49" s="1" customFormat="1" ht="14.1" customHeight="1" x14ac:dyDescent="0.2">
      <c r="A64" t="s">
        <v>92</v>
      </c>
      <c r="B64">
        <v>1466082.2033639599</v>
      </c>
      <c r="C64">
        <v>-334522.11946422898</v>
      </c>
      <c r="D64" t="s">
        <v>60</v>
      </c>
      <c r="E64">
        <v>2431945.9785411698</v>
      </c>
      <c r="F64" t="s">
        <v>51</v>
      </c>
      <c r="G64" s="11" t="s">
        <v>164</v>
      </c>
      <c r="H64" s="11" t="s">
        <v>163</v>
      </c>
      <c r="I64" t="s">
        <v>54</v>
      </c>
      <c r="J64">
        <v>9.73</v>
      </c>
      <c r="K64">
        <v>34.1</v>
      </c>
      <c r="L64" t="s">
        <v>55</v>
      </c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</row>
    <row r="65" spans="1:49" s="1" customFormat="1" ht="14.1" customHeight="1" x14ac:dyDescent="0.2">
      <c r="A65" s="16" t="s">
        <v>92</v>
      </c>
      <c r="B65" s="16">
        <v>1466082.2033639599</v>
      </c>
      <c r="C65" s="16">
        <v>-334522.11946422898</v>
      </c>
      <c r="D65" s="16" t="s">
        <v>60</v>
      </c>
      <c r="E65" s="16">
        <v>2431945.9785411698</v>
      </c>
      <c r="F65" s="16" t="s">
        <v>51</v>
      </c>
      <c r="G65" s="16" t="s">
        <v>174</v>
      </c>
      <c r="H65" s="16" t="s">
        <v>170</v>
      </c>
      <c r="I65" s="16" t="s">
        <v>54</v>
      </c>
      <c r="J65" s="16">
        <v>9.73</v>
      </c>
      <c r="K65" s="16">
        <v>34.1</v>
      </c>
      <c r="L65" s="16" t="s">
        <v>55</v>
      </c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</row>
    <row r="66" spans="1:49" ht="14.1" customHeight="1" x14ac:dyDescent="0.2">
      <c r="A66" t="s">
        <v>93</v>
      </c>
      <c r="B66">
        <v>1472727.8701414301</v>
      </c>
      <c r="C66">
        <v>-335939.681733031</v>
      </c>
      <c r="D66" t="s">
        <v>50</v>
      </c>
      <c r="E66">
        <v>1539862.4160863401</v>
      </c>
      <c r="F66" t="s">
        <v>51</v>
      </c>
      <c r="G66" s="11" t="s">
        <v>164</v>
      </c>
      <c r="H66" s="11" t="s">
        <v>163</v>
      </c>
      <c r="I66" t="s">
        <v>54</v>
      </c>
      <c r="J66">
        <v>6.16</v>
      </c>
      <c r="K66">
        <v>74.88</v>
      </c>
      <c r="L66" t="s">
        <v>55</v>
      </c>
    </row>
    <row r="67" spans="1:49" ht="14.1" customHeight="1" x14ac:dyDescent="0.2">
      <c r="A67" s="16" t="s">
        <v>93</v>
      </c>
      <c r="B67" s="16">
        <v>1472727.8701414301</v>
      </c>
      <c r="C67" s="16">
        <v>-335939.681733031</v>
      </c>
      <c r="D67" s="16" t="s">
        <v>50</v>
      </c>
      <c r="E67" s="16">
        <v>1539862.4160863401</v>
      </c>
      <c r="F67" s="16" t="s">
        <v>51</v>
      </c>
      <c r="G67" s="16" t="s">
        <v>174</v>
      </c>
      <c r="H67" s="16" t="s">
        <v>170</v>
      </c>
      <c r="I67" s="16" t="s">
        <v>54</v>
      </c>
      <c r="J67" s="16">
        <v>6.16</v>
      </c>
      <c r="K67" s="16">
        <v>74.88</v>
      </c>
      <c r="L67" s="16" t="s">
        <v>55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</row>
    <row r="68" spans="1:49" ht="14.1" customHeight="1" x14ac:dyDescent="0.2">
      <c r="A68" t="s">
        <v>94</v>
      </c>
      <c r="B68">
        <v>1465276.0265150401</v>
      </c>
      <c r="C68">
        <v>-330959.58049092599</v>
      </c>
      <c r="D68" t="s">
        <v>77</v>
      </c>
      <c r="E68">
        <v>2375053.6585566499</v>
      </c>
      <c r="F68" t="s">
        <v>51</v>
      </c>
      <c r="G68" s="11" t="s">
        <v>164</v>
      </c>
      <c r="H68" s="11" t="s">
        <v>163</v>
      </c>
      <c r="I68" t="s">
        <v>54</v>
      </c>
      <c r="J68">
        <v>9.5</v>
      </c>
      <c r="K68">
        <v>47.15</v>
      </c>
      <c r="L68" t="s">
        <v>55</v>
      </c>
    </row>
    <row r="69" spans="1:49" ht="14.1" customHeight="1" x14ac:dyDescent="0.2">
      <c r="A69" s="16" t="s">
        <v>94</v>
      </c>
      <c r="B69" s="16">
        <v>1465276.0265150401</v>
      </c>
      <c r="C69" s="16">
        <v>-330959.58049092599</v>
      </c>
      <c r="D69" s="16" t="s">
        <v>77</v>
      </c>
      <c r="E69" s="16">
        <v>2375053.6585566499</v>
      </c>
      <c r="F69" s="16" t="s">
        <v>51</v>
      </c>
      <c r="G69" s="16" t="s">
        <v>174</v>
      </c>
      <c r="H69" s="16" t="s">
        <v>170</v>
      </c>
      <c r="I69" s="16" t="s">
        <v>54</v>
      </c>
      <c r="J69" s="16">
        <v>9.5</v>
      </c>
      <c r="K69" s="16">
        <v>47.15</v>
      </c>
      <c r="L69" s="16" t="s">
        <v>55</v>
      </c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</row>
    <row r="70" spans="1:49" ht="14.1" customHeight="1" x14ac:dyDescent="0.2">
      <c r="A70" t="s">
        <v>95</v>
      </c>
      <c r="B70">
        <v>1466262.3207775</v>
      </c>
      <c r="C70">
        <v>-331948.785246054</v>
      </c>
      <c r="D70" t="s">
        <v>77</v>
      </c>
      <c r="E70">
        <v>2375053.6585566499</v>
      </c>
      <c r="F70" t="s">
        <v>51</v>
      </c>
      <c r="G70" s="11" t="s">
        <v>164</v>
      </c>
      <c r="H70" s="11" t="s">
        <v>163</v>
      </c>
      <c r="I70" t="s">
        <v>54</v>
      </c>
      <c r="J70">
        <v>9.5</v>
      </c>
      <c r="K70">
        <v>47.15</v>
      </c>
      <c r="L70" t="s">
        <v>55</v>
      </c>
    </row>
    <row r="71" spans="1:49" ht="14.1" customHeight="1" x14ac:dyDescent="0.2">
      <c r="A71" s="16" t="s">
        <v>95</v>
      </c>
      <c r="B71" s="16">
        <v>1466262.3207775</v>
      </c>
      <c r="C71" s="16">
        <v>-331948.785246054</v>
      </c>
      <c r="D71" s="16" t="s">
        <v>77</v>
      </c>
      <c r="E71" s="16">
        <v>2375053.6585566499</v>
      </c>
      <c r="F71" s="16" t="s">
        <v>51</v>
      </c>
      <c r="G71" s="16" t="s">
        <v>174</v>
      </c>
      <c r="H71" s="16" t="s">
        <v>170</v>
      </c>
      <c r="I71" s="16" t="s">
        <v>54</v>
      </c>
      <c r="J71" s="16">
        <v>9.5</v>
      </c>
      <c r="K71" s="16">
        <v>47.15</v>
      </c>
      <c r="L71" s="16" t="s">
        <v>55</v>
      </c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</row>
    <row r="72" spans="1:49" ht="14.1" customHeight="1" x14ac:dyDescent="0.2">
      <c r="A72" t="s">
        <v>96</v>
      </c>
      <c r="B72">
        <v>1478287.1369645</v>
      </c>
      <c r="C72">
        <v>-341378.166103222</v>
      </c>
      <c r="D72" t="s">
        <v>58</v>
      </c>
      <c r="E72">
        <v>1714544.6322379201</v>
      </c>
      <c r="F72" t="s">
        <v>51</v>
      </c>
      <c r="G72" s="11" t="s">
        <v>164</v>
      </c>
      <c r="H72" s="11" t="s">
        <v>163</v>
      </c>
      <c r="I72" t="s">
        <v>54</v>
      </c>
      <c r="J72">
        <v>6.86</v>
      </c>
      <c r="K72">
        <v>68.05</v>
      </c>
      <c r="L72" t="s">
        <v>55</v>
      </c>
    </row>
    <row r="73" spans="1:49" ht="14.1" customHeight="1" x14ac:dyDescent="0.2">
      <c r="A73" s="16" t="s">
        <v>96</v>
      </c>
      <c r="B73" s="16">
        <v>1478287.1369645</v>
      </c>
      <c r="C73" s="16">
        <v>-341378.166103222</v>
      </c>
      <c r="D73" s="16" t="s">
        <v>58</v>
      </c>
      <c r="E73" s="16">
        <v>1714544.6322379201</v>
      </c>
      <c r="F73" s="16" t="s">
        <v>51</v>
      </c>
      <c r="G73" s="16" t="s">
        <v>174</v>
      </c>
      <c r="H73" s="16" t="s">
        <v>170</v>
      </c>
      <c r="I73" s="16" t="s">
        <v>54</v>
      </c>
      <c r="J73" s="16">
        <v>6.86</v>
      </c>
      <c r="K73" s="16">
        <v>68.05</v>
      </c>
      <c r="L73" s="16" t="s">
        <v>55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</row>
    <row r="74" spans="1:49" ht="14.1" customHeight="1" x14ac:dyDescent="0.2">
      <c r="A74" t="s">
        <v>97</v>
      </c>
      <c r="B74">
        <v>1472911.3665700001</v>
      </c>
      <c r="C74">
        <v>-336658.87139683502</v>
      </c>
      <c r="D74" t="s">
        <v>50</v>
      </c>
      <c r="E74">
        <v>1539862.4160863401</v>
      </c>
      <c r="F74" t="s">
        <v>51</v>
      </c>
      <c r="G74" s="11" t="s">
        <v>164</v>
      </c>
      <c r="H74" s="11" t="s">
        <v>163</v>
      </c>
      <c r="I74" t="s">
        <v>54</v>
      </c>
      <c r="J74">
        <v>6.16</v>
      </c>
      <c r="K74">
        <v>74.88</v>
      </c>
      <c r="L74" t="s">
        <v>55</v>
      </c>
    </row>
    <row r="75" spans="1:49" ht="14.1" customHeight="1" x14ac:dyDescent="0.2">
      <c r="A75" s="16" t="s">
        <v>97</v>
      </c>
      <c r="B75" s="16">
        <v>1472911.3665700001</v>
      </c>
      <c r="C75" s="16">
        <v>-336658.87139683502</v>
      </c>
      <c r="D75" s="16" t="s">
        <v>50</v>
      </c>
      <c r="E75" s="16">
        <v>1539862.4160863401</v>
      </c>
      <c r="F75" s="16" t="s">
        <v>51</v>
      </c>
      <c r="G75" s="16" t="s">
        <v>174</v>
      </c>
      <c r="H75" s="16" t="s">
        <v>170</v>
      </c>
      <c r="I75" s="16" t="s">
        <v>54</v>
      </c>
      <c r="J75" s="16">
        <v>6.16</v>
      </c>
      <c r="K75" s="16">
        <v>74.88</v>
      </c>
      <c r="L75" s="16" t="s">
        <v>55</v>
      </c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</row>
    <row r="76" spans="1:49" ht="14.1" customHeight="1" x14ac:dyDescent="0.2">
      <c r="A76" t="s">
        <v>98</v>
      </c>
      <c r="B76">
        <v>1463664.8937470401</v>
      </c>
      <c r="C76">
        <v>-333193.57717041299</v>
      </c>
      <c r="D76" t="s">
        <v>60</v>
      </c>
      <c r="E76">
        <v>2431945.9785411698</v>
      </c>
      <c r="F76" t="s">
        <v>51</v>
      </c>
      <c r="G76" s="11" t="s">
        <v>164</v>
      </c>
      <c r="H76" s="11" t="s">
        <v>163</v>
      </c>
      <c r="I76" t="s">
        <v>54</v>
      </c>
      <c r="J76">
        <v>9.73</v>
      </c>
      <c r="K76">
        <v>34.1</v>
      </c>
      <c r="L76" t="s">
        <v>55</v>
      </c>
    </row>
    <row r="77" spans="1:49" ht="14.1" customHeight="1" x14ac:dyDescent="0.2">
      <c r="A77" s="16" t="s">
        <v>98</v>
      </c>
      <c r="B77" s="16">
        <v>1463664.8937470401</v>
      </c>
      <c r="C77" s="16">
        <v>-333193.57717041299</v>
      </c>
      <c r="D77" s="16" t="s">
        <v>60</v>
      </c>
      <c r="E77" s="16">
        <v>2431945.9785411698</v>
      </c>
      <c r="F77" s="16" t="s">
        <v>51</v>
      </c>
      <c r="G77" s="16" t="s">
        <v>174</v>
      </c>
      <c r="H77" s="16" t="s">
        <v>170</v>
      </c>
      <c r="I77" s="16" t="s">
        <v>54</v>
      </c>
      <c r="J77" s="16">
        <v>9.73</v>
      </c>
      <c r="K77" s="16">
        <v>34.1</v>
      </c>
      <c r="L77" s="16" t="s">
        <v>55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</row>
    <row r="78" spans="1:49" ht="14.1" customHeight="1" x14ac:dyDescent="0.2">
      <c r="A78" t="s">
        <v>99</v>
      </c>
      <c r="B78">
        <v>1467854.79790562</v>
      </c>
      <c r="C78">
        <v>-335042.413950874</v>
      </c>
      <c r="D78" t="s">
        <v>77</v>
      </c>
      <c r="E78">
        <v>2375053.6585566499</v>
      </c>
      <c r="F78" t="s">
        <v>51</v>
      </c>
      <c r="G78" s="11" t="s">
        <v>164</v>
      </c>
      <c r="H78" s="11" t="s">
        <v>163</v>
      </c>
      <c r="I78" t="s">
        <v>54</v>
      </c>
      <c r="J78">
        <v>9.5</v>
      </c>
      <c r="K78">
        <v>47.15</v>
      </c>
      <c r="L78" t="s">
        <v>55</v>
      </c>
    </row>
    <row r="79" spans="1:49" ht="14.1" customHeight="1" x14ac:dyDescent="0.2">
      <c r="A79" s="16" t="s">
        <v>99</v>
      </c>
      <c r="B79" s="16">
        <v>1467854.79790562</v>
      </c>
      <c r="C79" s="16">
        <v>-335042.413950874</v>
      </c>
      <c r="D79" s="16" t="s">
        <v>77</v>
      </c>
      <c r="E79" s="16">
        <v>2375053.6585566499</v>
      </c>
      <c r="F79" s="16" t="s">
        <v>51</v>
      </c>
      <c r="G79" s="16" t="s">
        <v>174</v>
      </c>
      <c r="H79" s="16" t="s">
        <v>170</v>
      </c>
      <c r="I79" s="16" t="s">
        <v>54</v>
      </c>
      <c r="J79" s="16">
        <v>9.5</v>
      </c>
      <c r="K79" s="16">
        <v>47.15</v>
      </c>
      <c r="L79" s="16" t="s">
        <v>55</v>
      </c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</row>
    <row r="80" spans="1:49" ht="14.1" customHeight="1" x14ac:dyDescent="0.2">
      <c r="A80" t="s">
        <v>100</v>
      </c>
      <c r="B80">
        <v>1471524.54522541</v>
      </c>
      <c r="C80">
        <v>-339700.88509588502</v>
      </c>
      <c r="D80" t="s">
        <v>50</v>
      </c>
      <c r="E80">
        <v>1539862.4160863401</v>
      </c>
      <c r="F80" t="s">
        <v>51</v>
      </c>
      <c r="G80" s="11" t="s">
        <v>164</v>
      </c>
      <c r="H80" s="11" t="s">
        <v>163</v>
      </c>
      <c r="I80" t="s">
        <v>54</v>
      </c>
      <c r="J80">
        <v>6.16</v>
      </c>
      <c r="K80">
        <v>74.88</v>
      </c>
      <c r="L80" t="s">
        <v>55</v>
      </c>
    </row>
    <row r="81" spans="1:49" x14ac:dyDescent="0.2">
      <c r="A81" s="16" t="s">
        <v>100</v>
      </c>
      <c r="B81" s="16">
        <v>1471524.54522541</v>
      </c>
      <c r="C81" s="16">
        <v>-339700.88509588502</v>
      </c>
      <c r="D81" s="16" t="s">
        <v>50</v>
      </c>
      <c r="E81" s="16">
        <v>1539862.4160863401</v>
      </c>
      <c r="F81" s="16" t="s">
        <v>51</v>
      </c>
      <c r="G81" s="16" t="s">
        <v>174</v>
      </c>
      <c r="H81" s="16" t="s">
        <v>170</v>
      </c>
      <c r="I81" s="16" t="s">
        <v>54</v>
      </c>
      <c r="J81" s="16">
        <v>6.16</v>
      </c>
      <c r="K81" s="16">
        <v>74.88</v>
      </c>
      <c r="L81" s="16" t="s">
        <v>55</v>
      </c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</row>
    <row r="82" spans="1:49" x14ac:dyDescent="0.2">
      <c r="A82" t="s">
        <v>101</v>
      </c>
      <c r="B82">
        <v>1477487.22809228</v>
      </c>
      <c r="C82">
        <v>-339016.18368315202</v>
      </c>
      <c r="D82" t="s">
        <v>58</v>
      </c>
      <c r="E82">
        <v>1714544.6322379201</v>
      </c>
      <c r="F82" t="s">
        <v>51</v>
      </c>
      <c r="G82" s="11" t="s">
        <v>164</v>
      </c>
      <c r="H82" s="11" t="s">
        <v>163</v>
      </c>
      <c r="I82" t="s">
        <v>54</v>
      </c>
      <c r="J82">
        <v>6.86</v>
      </c>
      <c r="K82">
        <v>68.05</v>
      </c>
      <c r="L82" t="s">
        <v>55</v>
      </c>
    </row>
    <row r="83" spans="1:49" x14ac:dyDescent="0.2">
      <c r="A83" s="16" t="s">
        <v>101</v>
      </c>
      <c r="B83" s="16">
        <v>1477487.22809228</v>
      </c>
      <c r="C83" s="16">
        <v>-339016.18368315202</v>
      </c>
      <c r="D83" s="16" t="s">
        <v>58</v>
      </c>
      <c r="E83" s="16">
        <v>1714544.6322379201</v>
      </c>
      <c r="F83" s="16" t="s">
        <v>51</v>
      </c>
      <c r="G83" s="16" t="s">
        <v>174</v>
      </c>
      <c r="H83" s="16" t="s">
        <v>170</v>
      </c>
      <c r="I83" s="16" t="s">
        <v>54</v>
      </c>
      <c r="J83" s="16">
        <v>6.86</v>
      </c>
      <c r="K83" s="16">
        <v>68.05</v>
      </c>
      <c r="L83" s="16" t="s">
        <v>55</v>
      </c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</row>
    <row r="84" spans="1:49" x14ac:dyDescent="0.2">
      <c r="A84" t="s">
        <v>102</v>
      </c>
      <c r="B84">
        <v>1466057.13582497</v>
      </c>
      <c r="C84">
        <v>-333244.42384980997</v>
      </c>
      <c r="D84" t="s">
        <v>77</v>
      </c>
      <c r="E84">
        <v>2375053.6585566499</v>
      </c>
      <c r="F84" t="s">
        <v>51</v>
      </c>
      <c r="G84" s="11" t="s">
        <v>164</v>
      </c>
      <c r="H84" s="11" t="s">
        <v>163</v>
      </c>
      <c r="I84" t="s">
        <v>54</v>
      </c>
      <c r="J84">
        <v>9.5</v>
      </c>
      <c r="K84">
        <v>47.15</v>
      </c>
      <c r="L84" t="s">
        <v>55</v>
      </c>
    </row>
    <row r="85" spans="1:49" x14ac:dyDescent="0.2">
      <c r="A85" s="16" t="s">
        <v>102</v>
      </c>
      <c r="B85" s="16">
        <v>1466057.13582497</v>
      </c>
      <c r="C85" s="16">
        <v>-333244.42384980997</v>
      </c>
      <c r="D85" s="16" t="s">
        <v>77</v>
      </c>
      <c r="E85" s="16">
        <v>2375053.6585566499</v>
      </c>
      <c r="F85" s="16" t="s">
        <v>51</v>
      </c>
      <c r="G85" s="16" t="s">
        <v>174</v>
      </c>
      <c r="H85" s="16" t="s">
        <v>170</v>
      </c>
      <c r="I85" s="16" t="s">
        <v>54</v>
      </c>
      <c r="J85" s="16">
        <v>9.5</v>
      </c>
      <c r="K85" s="16">
        <v>47.15</v>
      </c>
      <c r="L85" s="16" t="s">
        <v>55</v>
      </c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</row>
    <row r="86" spans="1:49" s="16" customFormat="1" ht="14.1" customHeight="1" x14ac:dyDescent="0.2">
      <c r="A86" t="s">
        <v>103</v>
      </c>
      <c r="B86">
        <v>1469065.2243494701</v>
      </c>
      <c r="C86">
        <v>-333787.93404601701</v>
      </c>
      <c r="D86" t="s">
        <v>77</v>
      </c>
      <c r="E86">
        <v>2375053.6585566499</v>
      </c>
      <c r="F86" t="s">
        <v>51</v>
      </c>
      <c r="G86" s="11" t="s">
        <v>164</v>
      </c>
      <c r="H86" s="11" t="s">
        <v>163</v>
      </c>
      <c r="I86" t="s">
        <v>54</v>
      </c>
      <c r="J86">
        <v>9.5</v>
      </c>
      <c r="K86">
        <v>47.15</v>
      </c>
      <c r="L86" t="s">
        <v>55</v>
      </c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</row>
    <row r="87" spans="1:49" s="16" customFormat="1" ht="14.1" customHeight="1" x14ac:dyDescent="0.2">
      <c r="A87" s="16" t="s">
        <v>103</v>
      </c>
      <c r="B87" s="16">
        <v>1469065.2243494701</v>
      </c>
      <c r="C87" s="16">
        <v>-333787.93404601701</v>
      </c>
      <c r="D87" s="16" t="s">
        <v>77</v>
      </c>
      <c r="E87" s="16">
        <v>2375053.6585566499</v>
      </c>
      <c r="F87" s="16" t="s">
        <v>51</v>
      </c>
      <c r="G87" s="16" t="s">
        <v>174</v>
      </c>
      <c r="H87" s="16" t="s">
        <v>170</v>
      </c>
      <c r="I87" s="16" t="s">
        <v>54</v>
      </c>
      <c r="J87" s="16">
        <v>9.5</v>
      </c>
      <c r="K87" s="16">
        <v>47.15</v>
      </c>
      <c r="L87" s="16" t="s">
        <v>55</v>
      </c>
    </row>
    <row r="88" spans="1:49" s="16" customFormat="1" ht="14.1" customHeight="1" x14ac:dyDescent="0.2">
      <c r="A88" t="s">
        <v>104</v>
      </c>
      <c r="B88">
        <v>1479079.03355369</v>
      </c>
      <c r="C88">
        <v>-339736.42960239702</v>
      </c>
      <c r="D88" t="s">
        <v>58</v>
      </c>
      <c r="E88">
        <v>1714544.6322379201</v>
      </c>
      <c r="F88" t="s">
        <v>51</v>
      </c>
      <c r="G88" s="11" t="s">
        <v>164</v>
      </c>
      <c r="H88" s="11" t="s">
        <v>163</v>
      </c>
      <c r="I88" t="s">
        <v>54</v>
      </c>
      <c r="J88">
        <v>6.86</v>
      </c>
      <c r="K88">
        <v>68.05</v>
      </c>
      <c r="L88" t="s">
        <v>55</v>
      </c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</row>
    <row r="89" spans="1:49" s="16" customFormat="1" ht="14.1" customHeight="1" x14ac:dyDescent="0.2">
      <c r="A89" s="16" t="s">
        <v>104</v>
      </c>
      <c r="B89" s="16">
        <v>1479079.03355369</v>
      </c>
      <c r="C89" s="16">
        <v>-339736.42960239702</v>
      </c>
      <c r="D89" s="16" t="s">
        <v>58</v>
      </c>
      <c r="E89" s="16">
        <v>1714544.6322379201</v>
      </c>
      <c r="F89" s="16" t="s">
        <v>51</v>
      </c>
      <c r="G89" s="16" t="s">
        <v>174</v>
      </c>
      <c r="H89" s="16" t="s">
        <v>170</v>
      </c>
      <c r="I89" s="16" t="s">
        <v>54</v>
      </c>
      <c r="J89" s="16">
        <v>6.86</v>
      </c>
      <c r="K89" s="16">
        <v>68.05</v>
      </c>
      <c r="L89" s="16" t="s">
        <v>55</v>
      </c>
    </row>
    <row r="90" spans="1:49" s="16" customFormat="1" ht="14.1" customHeight="1" x14ac:dyDescent="0.2">
      <c r="A90" s="1" t="s">
        <v>105</v>
      </c>
      <c r="B90" s="1">
        <v>1462146.11370152</v>
      </c>
      <c r="C90" s="1">
        <v>-330706.01100161002</v>
      </c>
      <c r="D90" s="1" t="s">
        <v>106</v>
      </c>
      <c r="E90" s="1">
        <v>646115.10381286498</v>
      </c>
      <c r="F90" s="1" t="s">
        <v>106</v>
      </c>
      <c r="G90" s="1" t="s">
        <v>52</v>
      </c>
      <c r="H90" s="11" t="s">
        <v>53</v>
      </c>
      <c r="I90" s="1" t="s">
        <v>54</v>
      </c>
      <c r="J90" s="1">
        <v>9.0500000000000007</v>
      </c>
      <c r="K90" s="1">
        <v>33.96</v>
      </c>
      <c r="L90" s="1" t="s">
        <v>55</v>
      </c>
      <c r="M90" s="2">
        <v>43395</v>
      </c>
      <c r="N90" s="3">
        <v>0.44513888888888892</v>
      </c>
      <c r="O90" s="4">
        <v>0.4352314814814815</v>
      </c>
      <c r="P90" s="2">
        <v>43396</v>
      </c>
      <c r="Q90" s="1">
        <v>40</v>
      </c>
      <c r="R90" s="1" t="s">
        <v>56</v>
      </c>
      <c r="S90" s="1">
        <v>1.1000000000000001</v>
      </c>
      <c r="T90" s="1">
        <v>0.1</v>
      </c>
      <c r="U90" s="1">
        <v>16.7</v>
      </c>
      <c r="V90" s="1">
        <v>107.2</v>
      </c>
      <c r="W90" s="1">
        <v>10.45</v>
      </c>
      <c r="X90" s="1">
        <v>8.1000000000000003E-2</v>
      </c>
      <c r="Y90" s="1">
        <v>7.41</v>
      </c>
      <c r="Z90" s="1" t="s">
        <v>54</v>
      </c>
      <c r="AA90" s="1">
        <v>14.5</v>
      </c>
      <c r="AB90" s="1">
        <v>20.8</v>
      </c>
      <c r="AC90" s="1">
        <v>0.6</v>
      </c>
      <c r="AD90" s="1">
        <v>16.100000000000001</v>
      </c>
      <c r="AE90" s="1">
        <v>104.4</v>
      </c>
      <c r="AF90" s="1">
        <v>10.3</v>
      </c>
      <c r="AG90" s="1">
        <v>8.1000000000000003E-2</v>
      </c>
      <c r="AH90" s="1">
        <v>7.44</v>
      </c>
      <c r="AI90" s="1" t="s">
        <v>54</v>
      </c>
      <c r="AJ90" s="1">
        <v>16.899999999999999</v>
      </c>
      <c r="AK90" s="1">
        <v>31.2</v>
      </c>
      <c r="AL90" s="11" t="s">
        <v>155</v>
      </c>
      <c r="AM90" s="11" t="s">
        <v>146</v>
      </c>
      <c r="AN90" s="11">
        <v>115</v>
      </c>
      <c r="AO90" s="11">
        <v>25</v>
      </c>
      <c r="AP90" s="11" t="s">
        <v>54</v>
      </c>
      <c r="AQ90" s="2">
        <v>43396</v>
      </c>
      <c r="AR90" s="3">
        <v>0.4284722222222222</v>
      </c>
      <c r="AS90" s="1">
        <v>25</v>
      </c>
      <c r="AT90" s="1" t="s">
        <v>54</v>
      </c>
      <c r="AU90" s="1" t="s">
        <v>54</v>
      </c>
      <c r="AV90" s="1">
        <v>36.055759999999999</v>
      </c>
      <c r="AW90" s="1">
        <v>78.758572000000001</v>
      </c>
    </row>
    <row r="91" spans="1:49" s="16" customFormat="1" ht="14.1" customHeight="1" x14ac:dyDescent="0.2">
      <c r="A91" s="16" t="s">
        <v>105</v>
      </c>
      <c r="B91" s="16">
        <v>1462146.11370152</v>
      </c>
      <c r="C91" s="16">
        <v>-330706.01100161002</v>
      </c>
      <c r="D91" s="16" t="s">
        <v>106</v>
      </c>
      <c r="E91" s="16">
        <v>646115.10381286498</v>
      </c>
      <c r="F91" s="16" t="s">
        <v>106</v>
      </c>
      <c r="G91" s="16" t="s">
        <v>52</v>
      </c>
      <c r="H91" s="16" t="s">
        <v>170</v>
      </c>
      <c r="I91" s="16" t="s">
        <v>54</v>
      </c>
      <c r="J91" s="16">
        <v>9.0500000000000007</v>
      </c>
      <c r="K91" s="16">
        <v>33.96</v>
      </c>
      <c r="L91" s="16" t="s">
        <v>55</v>
      </c>
      <c r="M91" s="17">
        <v>43395</v>
      </c>
      <c r="N91" s="18">
        <v>0.44513888888888892</v>
      </c>
      <c r="O91" s="19">
        <v>0.4352314814814815</v>
      </c>
      <c r="P91" s="17">
        <v>43396</v>
      </c>
      <c r="Q91" s="16">
        <v>40</v>
      </c>
      <c r="R91" s="16" t="s">
        <v>56</v>
      </c>
      <c r="S91" s="16">
        <v>1.1000000000000001</v>
      </c>
      <c r="T91" s="16">
        <v>0.1</v>
      </c>
      <c r="U91" s="16">
        <v>16.7</v>
      </c>
      <c r="V91" s="16">
        <v>107.2</v>
      </c>
      <c r="W91" s="16">
        <v>10.45</v>
      </c>
      <c r="X91" s="16">
        <v>8.1000000000000003E-2</v>
      </c>
      <c r="Y91" s="16">
        <v>7.41</v>
      </c>
      <c r="Z91" s="16" t="s">
        <v>54</v>
      </c>
      <c r="AA91" s="16">
        <v>14.5</v>
      </c>
      <c r="AB91" s="16">
        <v>20.8</v>
      </c>
      <c r="AC91" s="16">
        <v>0.6</v>
      </c>
      <c r="AD91" s="16">
        <v>16.100000000000001</v>
      </c>
      <c r="AE91" s="16">
        <v>104.4</v>
      </c>
      <c r="AF91" s="16">
        <v>10.3</v>
      </c>
      <c r="AG91" s="16">
        <v>8.1000000000000003E-2</v>
      </c>
      <c r="AH91" s="16">
        <v>7.44</v>
      </c>
      <c r="AI91" s="16" t="s">
        <v>54</v>
      </c>
      <c r="AJ91" s="16">
        <v>16.899999999999999</v>
      </c>
      <c r="AK91" s="16">
        <v>31.2</v>
      </c>
      <c r="AL91" s="16" t="s">
        <v>175</v>
      </c>
      <c r="AM91" s="16" t="s">
        <v>176</v>
      </c>
      <c r="AO91" s="16">
        <v>115</v>
      </c>
      <c r="AP91" s="16">
        <v>25</v>
      </c>
      <c r="AQ91" s="17">
        <v>43396</v>
      </c>
      <c r="AR91" s="18">
        <v>0.4284722222222222</v>
      </c>
      <c r="AS91" s="16">
        <v>25</v>
      </c>
      <c r="AT91" s="16" t="s">
        <v>54</v>
      </c>
      <c r="AU91" s="16" t="s">
        <v>54</v>
      </c>
      <c r="AV91" s="16">
        <v>36.055759999999999</v>
      </c>
      <c r="AW91" s="16">
        <v>78.758572000000001</v>
      </c>
    </row>
    <row r="92" spans="1:49" s="16" customFormat="1" ht="14.1" customHeight="1" x14ac:dyDescent="0.2">
      <c r="A92" s="1" t="s">
        <v>107</v>
      </c>
      <c r="B92" s="1">
        <v>1458883.2490767699</v>
      </c>
      <c r="C92" s="1">
        <v>-330137.92613326397</v>
      </c>
      <c r="D92" s="1" t="s">
        <v>106</v>
      </c>
      <c r="E92" s="1">
        <v>646115.10381286498</v>
      </c>
      <c r="F92" s="1" t="s">
        <v>106</v>
      </c>
      <c r="G92" s="1" t="s">
        <v>52</v>
      </c>
      <c r="H92" s="1" t="s">
        <v>53</v>
      </c>
      <c r="I92" s="1" t="s">
        <v>54</v>
      </c>
      <c r="J92" s="1">
        <v>9.0500000000000007</v>
      </c>
      <c r="K92" s="1">
        <v>33.96</v>
      </c>
      <c r="L92" s="1" t="s">
        <v>55</v>
      </c>
      <c r="M92" s="2">
        <v>43395</v>
      </c>
      <c r="N92" s="3">
        <v>0.39027777777777778</v>
      </c>
      <c r="O92" s="3">
        <v>0.37623842592592593</v>
      </c>
      <c r="P92" s="2">
        <v>43396</v>
      </c>
      <c r="Q92" s="1">
        <v>45</v>
      </c>
      <c r="R92" s="1" t="s">
        <v>56</v>
      </c>
      <c r="S92" s="1">
        <v>1.2</v>
      </c>
      <c r="T92" s="1">
        <v>0.1</v>
      </c>
      <c r="U92" s="1">
        <v>15</v>
      </c>
      <c r="V92" s="1">
        <v>103.9</v>
      </c>
      <c r="W92" s="1">
        <v>10.49</v>
      </c>
      <c r="X92" s="1">
        <v>0.14499999999999999</v>
      </c>
      <c r="Y92" s="1">
        <v>6.96</v>
      </c>
      <c r="Z92" s="1" t="s">
        <v>54</v>
      </c>
      <c r="AA92" s="1">
        <v>17.7</v>
      </c>
      <c r="AB92" s="1">
        <v>34.6</v>
      </c>
      <c r="AC92" s="1">
        <v>0.7</v>
      </c>
      <c r="AD92" s="1">
        <v>15.1</v>
      </c>
      <c r="AE92" s="1">
        <v>100.3</v>
      </c>
      <c r="AF92" s="1">
        <v>10.1</v>
      </c>
      <c r="AG92" s="1">
        <v>0.14499999999999999</v>
      </c>
      <c r="AH92" s="1">
        <v>7.01</v>
      </c>
      <c r="AI92" s="1" t="s">
        <v>54</v>
      </c>
      <c r="AJ92" s="1">
        <v>21</v>
      </c>
      <c r="AK92" s="1">
        <v>33</v>
      </c>
      <c r="AL92" s="1"/>
      <c r="AM92" s="11" t="s">
        <v>143</v>
      </c>
      <c r="AN92" s="11">
        <v>115</v>
      </c>
      <c r="AO92" s="11">
        <v>25</v>
      </c>
      <c r="AP92" s="11" t="s">
        <v>54</v>
      </c>
      <c r="AQ92" s="2">
        <v>43396</v>
      </c>
      <c r="AR92" s="3">
        <v>0.37013888888888885</v>
      </c>
      <c r="AS92" s="1">
        <v>10.5</v>
      </c>
      <c r="AT92" s="1" t="s">
        <v>54</v>
      </c>
      <c r="AU92" s="1" t="s">
        <v>54</v>
      </c>
      <c r="AV92" s="12">
        <v>36.065286999999998</v>
      </c>
      <c r="AW92" s="1">
        <v>78.795192</v>
      </c>
    </row>
    <row r="93" spans="1:49" s="16" customFormat="1" ht="14.1" customHeight="1" x14ac:dyDescent="0.2">
      <c r="A93" s="16" t="s">
        <v>107</v>
      </c>
      <c r="B93" s="16">
        <v>1458883.2490767699</v>
      </c>
      <c r="C93" s="16">
        <v>-330137.92613326397</v>
      </c>
      <c r="D93" s="16" t="s">
        <v>106</v>
      </c>
      <c r="E93" s="16">
        <v>646115.10381286498</v>
      </c>
      <c r="F93" s="16" t="s">
        <v>106</v>
      </c>
      <c r="G93" s="16" t="s">
        <v>52</v>
      </c>
      <c r="H93" s="16" t="s">
        <v>53</v>
      </c>
      <c r="I93" s="16" t="s">
        <v>54</v>
      </c>
      <c r="J93" s="16">
        <v>9.0500000000000007</v>
      </c>
      <c r="K93" s="16">
        <v>33.96</v>
      </c>
      <c r="L93" s="16" t="s">
        <v>55</v>
      </c>
      <c r="M93" s="17">
        <v>43395</v>
      </c>
      <c r="N93" s="18">
        <v>0.39027777777777778</v>
      </c>
      <c r="O93" s="18">
        <v>0.37623842592592593</v>
      </c>
      <c r="P93" s="17">
        <v>43396</v>
      </c>
      <c r="Q93" s="16">
        <v>45</v>
      </c>
      <c r="R93" s="16" t="s">
        <v>56</v>
      </c>
      <c r="S93" s="16">
        <v>1.2</v>
      </c>
      <c r="T93" s="16">
        <v>0.1</v>
      </c>
      <c r="U93" s="16">
        <v>15</v>
      </c>
      <c r="V93" s="16">
        <v>103.9</v>
      </c>
      <c r="W93" s="16">
        <v>10.49</v>
      </c>
      <c r="X93" s="16">
        <v>0.14499999999999999</v>
      </c>
      <c r="Y93" s="16">
        <v>6.96</v>
      </c>
      <c r="Z93" s="16" t="s">
        <v>54</v>
      </c>
      <c r="AA93" s="16">
        <v>17.7</v>
      </c>
      <c r="AB93" s="16">
        <v>34.6</v>
      </c>
      <c r="AC93" s="16">
        <v>0.7</v>
      </c>
      <c r="AD93" s="16">
        <v>15.1</v>
      </c>
      <c r="AE93" s="16">
        <v>100.3</v>
      </c>
      <c r="AF93" s="16">
        <v>10.1</v>
      </c>
      <c r="AG93" s="16">
        <v>0.14499999999999999</v>
      </c>
      <c r="AH93" s="16">
        <v>7.01</v>
      </c>
      <c r="AI93" s="16" t="s">
        <v>54</v>
      </c>
      <c r="AJ93" s="16">
        <v>21</v>
      </c>
      <c r="AK93" s="16">
        <v>33</v>
      </c>
      <c r="AM93" s="16" t="s">
        <v>177</v>
      </c>
      <c r="AO93" s="16">
        <v>115</v>
      </c>
      <c r="AP93" s="16">
        <v>25</v>
      </c>
      <c r="AQ93" s="17">
        <v>43396</v>
      </c>
      <c r="AR93" s="18">
        <v>0.37013888888888885</v>
      </c>
      <c r="AS93" s="16">
        <v>10.5</v>
      </c>
      <c r="AT93" s="16" t="s">
        <v>54</v>
      </c>
      <c r="AU93" s="16" t="s">
        <v>54</v>
      </c>
      <c r="AV93" s="16">
        <v>36.065286999999998</v>
      </c>
      <c r="AW93" s="16">
        <v>78.795192</v>
      </c>
    </row>
    <row r="94" spans="1:49" s="16" customFormat="1" ht="14.1" customHeight="1" x14ac:dyDescent="0.2">
      <c r="A94" s="1" t="s">
        <v>108</v>
      </c>
      <c r="B94" s="1">
        <v>1460807.26953561</v>
      </c>
      <c r="C94" s="1">
        <v>-330217.48017225403</v>
      </c>
      <c r="D94" s="1" t="s">
        <v>106</v>
      </c>
      <c r="E94" s="1">
        <v>646115.10381286498</v>
      </c>
      <c r="F94" s="1" t="s">
        <v>106</v>
      </c>
      <c r="G94" s="1" t="s">
        <v>52</v>
      </c>
      <c r="H94" s="1" t="s">
        <v>53</v>
      </c>
      <c r="I94" s="1" t="s">
        <v>54</v>
      </c>
      <c r="J94" s="1">
        <v>9.0500000000000007</v>
      </c>
      <c r="K94" s="1">
        <v>33.96</v>
      </c>
      <c r="L94" s="1" t="s">
        <v>55</v>
      </c>
      <c r="M94" s="2">
        <v>43395</v>
      </c>
      <c r="N94" s="3">
        <v>0.4284722222222222</v>
      </c>
      <c r="O94" s="3">
        <v>0.41765046296296293</v>
      </c>
      <c r="P94" s="2">
        <v>43396</v>
      </c>
      <c r="Q94" s="1">
        <v>40</v>
      </c>
      <c r="R94" s="1" t="s">
        <v>56</v>
      </c>
      <c r="S94" s="1">
        <v>1.9</v>
      </c>
      <c r="T94" s="1">
        <v>0.1</v>
      </c>
      <c r="U94" s="1">
        <v>16.100000000000001</v>
      </c>
      <c r="V94" s="1">
        <v>103.5</v>
      </c>
      <c r="W94" s="1">
        <v>10.199999999999999</v>
      </c>
      <c r="X94" s="1">
        <v>8.4000000000000005E-2</v>
      </c>
      <c r="Y94" s="1">
        <v>7.42</v>
      </c>
      <c r="Z94" s="1" t="s">
        <v>54</v>
      </c>
      <c r="AA94" s="1">
        <v>18.600000000000001</v>
      </c>
      <c r="AB94" s="1">
        <v>22.2</v>
      </c>
      <c r="AC94" s="1">
        <v>1.4</v>
      </c>
      <c r="AD94" s="1">
        <v>15.9</v>
      </c>
      <c r="AE94" s="1">
        <v>98</v>
      </c>
      <c r="AF94" s="1">
        <v>9.6999999999999993</v>
      </c>
      <c r="AG94" s="1">
        <v>8.4000000000000005E-2</v>
      </c>
      <c r="AH94" s="1">
        <v>7.42</v>
      </c>
      <c r="AI94" s="1" t="s">
        <v>54</v>
      </c>
      <c r="AJ94" s="1">
        <v>42</v>
      </c>
      <c r="AK94" s="1">
        <v>23.9</v>
      </c>
      <c r="AL94" s="1"/>
      <c r="AM94" s="11" t="s">
        <v>144</v>
      </c>
      <c r="AN94" s="11">
        <v>115</v>
      </c>
      <c r="AO94" s="11">
        <v>25</v>
      </c>
      <c r="AP94" s="11" t="s">
        <v>54</v>
      </c>
      <c r="AQ94" s="2">
        <v>43396</v>
      </c>
      <c r="AR94" s="3">
        <v>0.40902777777777777</v>
      </c>
      <c r="AS94" s="1">
        <f>25+16.5</f>
        <v>41.5</v>
      </c>
      <c r="AT94" s="1" t="s">
        <v>109</v>
      </c>
      <c r="AU94" s="1"/>
      <c r="AV94" s="1">
        <v>36.061452000000003</v>
      </c>
      <c r="AW94" s="1">
        <v>78.773379000000006</v>
      </c>
    </row>
    <row r="95" spans="1:49" s="16" customFormat="1" ht="14.1" customHeight="1" x14ac:dyDescent="0.2">
      <c r="A95" s="16" t="s">
        <v>108</v>
      </c>
      <c r="B95" s="16">
        <v>1460807.26953561</v>
      </c>
      <c r="C95" s="16">
        <v>-330217.48017225403</v>
      </c>
      <c r="D95" s="16" t="s">
        <v>106</v>
      </c>
      <c r="E95" s="16">
        <v>646115.10381286498</v>
      </c>
      <c r="F95" s="16" t="s">
        <v>106</v>
      </c>
      <c r="G95" s="16" t="s">
        <v>52</v>
      </c>
      <c r="H95" s="16" t="s">
        <v>53</v>
      </c>
      <c r="I95" s="16" t="s">
        <v>54</v>
      </c>
      <c r="J95" s="16">
        <v>9.0500000000000007</v>
      </c>
      <c r="K95" s="16">
        <v>33.96</v>
      </c>
      <c r="L95" s="16" t="s">
        <v>55</v>
      </c>
      <c r="M95" s="17">
        <v>43395</v>
      </c>
      <c r="N95" s="18">
        <v>0.4284722222222222</v>
      </c>
      <c r="O95" s="18">
        <v>0.41765046296296293</v>
      </c>
      <c r="P95" s="17">
        <v>43396</v>
      </c>
      <c r="Q95" s="16">
        <v>40</v>
      </c>
      <c r="R95" s="16" t="s">
        <v>56</v>
      </c>
      <c r="S95" s="16">
        <v>1.9</v>
      </c>
      <c r="T95" s="16">
        <v>0.1</v>
      </c>
      <c r="U95" s="16">
        <v>16.100000000000001</v>
      </c>
      <c r="V95" s="16">
        <v>103.5</v>
      </c>
      <c r="W95" s="16">
        <v>10.199999999999999</v>
      </c>
      <c r="X95" s="16">
        <v>8.4000000000000005E-2</v>
      </c>
      <c r="Y95" s="16">
        <v>7.42</v>
      </c>
      <c r="Z95" s="16" t="s">
        <v>54</v>
      </c>
      <c r="AA95" s="16">
        <v>18.600000000000001</v>
      </c>
      <c r="AB95" s="16">
        <v>22.2</v>
      </c>
      <c r="AC95" s="16">
        <v>1.4</v>
      </c>
      <c r="AD95" s="16">
        <v>15.9</v>
      </c>
      <c r="AE95" s="16">
        <v>98</v>
      </c>
      <c r="AF95" s="16">
        <v>9.6999999999999993</v>
      </c>
      <c r="AG95" s="16">
        <v>8.4000000000000005E-2</v>
      </c>
      <c r="AH95" s="16">
        <v>7.42</v>
      </c>
      <c r="AI95" s="16" t="s">
        <v>54</v>
      </c>
      <c r="AJ95" s="16">
        <v>42</v>
      </c>
      <c r="AK95" s="16">
        <v>23.9</v>
      </c>
      <c r="AM95" s="16" t="s">
        <v>178</v>
      </c>
      <c r="AO95" s="16">
        <v>115</v>
      </c>
      <c r="AP95" s="16">
        <v>25</v>
      </c>
      <c r="AQ95" s="17">
        <v>43396</v>
      </c>
      <c r="AR95" s="18">
        <v>0.40902777777777777</v>
      </c>
      <c r="AS95" s="16">
        <f>25+16.5</f>
        <v>41.5</v>
      </c>
      <c r="AT95" s="16" t="s">
        <v>109</v>
      </c>
      <c r="AV95" s="16">
        <v>36.061452000000003</v>
      </c>
      <c r="AW95" s="16">
        <v>78.773379000000006</v>
      </c>
    </row>
    <row r="96" spans="1:49" s="16" customFormat="1" ht="14.1" customHeight="1" x14ac:dyDescent="0.2">
      <c r="A96" s="1" t="s">
        <v>110</v>
      </c>
      <c r="B96" s="1">
        <v>1460043.0494104601</v>
      </c>
      <c r="C96" s="1">
        <v>-329004.359972545</v>
      </c>
      <c r="D96" s="1" t="s">
        <v>106</v>
      </c>
      <c r="E96" s="1">
        <v>646115.10381286498</v>
      </c>
      <c r="F96" s="1" t="s">
        <v>106</v>
      </c>
      <c r="G96" s="1" t="s">
        <v>52</v>
      </c>
      <c r="H96" s="1" t="s">
        <v>53</v>
      </c>
      <c r="I96" s="1" t="s">
        <v>54</v>
      </c>
      <c r="J96" s="1">
        <v>9.0500000000000007</v>
      </c>
      <c r="K96" s="1">
        <v>33.96</v>
      </c>
      <c r="L96" s="1" t="s">
        <v>55</v>
      </c>
      <c r="M96" s="2">
        <v>43395</v>
      </c>
      <c r="N96" s="3">
        <v>0.40208333333333335</v>
      </c>
      <c r="O96" s="3">
        <v>0.38799768518518518</v>
      </c>
      <c r="P96" s="2">
        <v>43396</v>
      </c>
      <c r="Q96" s="1">
        <v>40</v>
      </c>
      <c r="R96" s="1" t="s">
        <v>56</v>
      </c>
      <c r="S96" s="1">
        <v>1.2</v>
      </c>
      <c r="T96" s="1">
        <v>0.1</v>
      </c>
      <c r="U96" s="1">
        <v>15.4</v>
      </c>
      <c r="V96" s="1">
        <v>111.5</v>
      </c>
      <c r="W96" s="1">
        <v>11.18</v>
      </c>
      <c r="X96" s="1">
        <v>0.105</v>
      </c>
      <c r="Y96" s="1">
        <v>7.14</v>
      </c>
      <c r="Z96" s="1" t="s">
        <v>54</v>
      </c>
      <c r="AA96" s="1">
        <v>19.7</v>
      </c>
      <c r="AB96" s="1">
        <v>32.1</v>
      </c>
      <c r="AC96" s="1">
        <v>0.7</v>
      </c>
      <c r="AD96" s="1">
        <v>14.9</v>
      </c>
      <c r="AE96" s="1">
        <v>93.2</v>
      </c>
      <c r="AF96" s="1">
        <v>9.9</v>
      </c>
      <c r="AG96" s="1">
        <v>0.08</v>
      </c>
      <c r="AH96" s="1">
        <v>7.29</v>
      </c>
      <c r="AI96" s="1" t="s">
        <v>54</v>
      </c>
      <c r="AJ96" s="1">
        <v>26.2</v>
      </c>
      <c r="AK96" s="1">
        <v>28.4</v>
      </c>
      <c r="AL96" s="1"/>
      <c r="AM96" s="11" t="s">
        <v>145</v>
      </c>
      <c r="AN96" s="11">
        <v>115</v>
      </c>
      <c r="AO96" s="11">
        <v>25</v>
      </c>
      <c r="AP96" s="11" t="s">
        <v>54</v>
      </c>
      <c r="AQ96" s="2">
        <v>43396</v>
      </c>
      <c r="AR96" s="3">
        <v>0.38194444444444442</v>
      </c>
      <c r="AS96" s="1">
        <f>25+18</f>
        <v>43</v>
      </c>
      <c r="AT96" s="1" t="s">
        <v>111</v>
      </c>
      <c r="AU96" s="1"/>
      <c r="AV96" s="11">
        <v>36.072856999999999</v>
      </c>
      <c r="AW96" s="1">
        <v>78.779208999999994</v>
      </c>
    </row>
    <row r="97" spans="1:49" s="16" customFormat="1" ht="14.1" customHeight="1" x14ac:dyDescent="0.2">
      <c r="A97" s="16" t="s">
        <v>110</v>
      </c>
      <c r="B97" s="16">
        <v>1460043.0494104601</v>
      </c>
      <c r="C97" s="16">
        <v>-329004.359972545</v>
      </c>
      <c r="D97" s="16" t="s">
        <v>106</v>
      </c>
      <c r="E97" s="16">
        <v>646115.10381286498</v>
      </c>
      <c r="F97" s="16" t="s">
        <v>106</v>
      </c>
      <c r="G97" s="16" t="s">
        <v>52</v>
      </c>
      <c r="H97" s="16" t="s">
        <v>53</v>
      </c>
      <c r="I97" s="16" t="s">
        <v>54</v>
      </c>
      <c r="J97" s="16">
        <v>9.0500000000000007</v>
      </c>
      <c r="K97" s="16">
        <v>33.96</v>
      </c>
      <c r="L97" s="16" t="s">
        <v>55</v>
      </c>
      <c r="M97" s="17">
        <v>43395</v>
      </c>
      <c r="N97" s="18">
        <v>0.40208333333333335</v>
      </c>
      <c r="O97" s="18">
        <v>0.38799768518518518</v>
      </c>
      <c r="P97" s="17">
        <v>43396</v>
      </c>
      <c r="Q97" s="16">
        <v>40</v>
      </c>
      <c r="R97" s="16" t="s">
        <v>56</v>
      </c>
      <c r="S97" s="16">
        <v>1.2</v>
      </c>
      <c r="T97" s="16">
        <v>0.1</v>
      </c>
      <c r="U97" s="16">
        <v>15.4</v>
      </c>
      <c r="V97" s="16">
        <v>111.5</v>
      </c>
      <c r="W97" s="16">
        <v>11.18</v>
      </c>
      <c r="X97" s="16">
        <v>0.105</v>
      </c>
      <c r="Y97" s="16">
        <v>7.14</v>
      </c>
      <c r="Z97" s="16" t="s">
        <v>54</v>
      </c>
      <c r="AA97" s="16">
        <v>19.7</v>
      </c>
      <c r="AB97" s="16">
        <v>32.1</v>
      </c>
      <c r="AC97" s="16">
        <v>0.7</v>
      </c>
      <c r="AD97" s="16">
        <v>14.9</v>
      </c>
      <c r="AE97" s="16">
        <v>93.2</v>
      </c>
      <c r="AF97" s="16">
        <v>9.9</v>
      </c>
      <c r="AG97" s="16">
        <v>0.08</v>
      </c>
      <c r="AH97" s="16">
        <v>7.29</v>
      </c>
      <c r="AI97" s="16" t="s">
        <v>54</v>
      </c>
      <c r="AJ97" s="16">
        <v>26.2</v>
      </c>
      <c r="AK97" s="16">
        <v>28.4</v>
      </c>
      <c r="AM97" s="16" t="s">
        <v>179</v>
      </c>
      <c r="AO97" s="16">
        <v>115</v>
      </c>
      <c r="AP97" s="16">
        <v>25</v>
      </c>
      <c r="AQ97" s="17">
        <v>43396</v>
      </c>
      <c r="AR97" s="18">
        <v>0.38194444444444442</v>
      </c>
      <c r="AS97" s="16">
        <f>25+18</f>
        <v>43</v>
      </c>
      <c r="AT97" s="16" t="s">
        <v>111</v>
      </c>
      <c r="AV97" s="16">
        <v>36.072851</v>
      </c>
      <c r="AW97" s="16">
        <v>78.779208999999994</v>
      </c>
    </row>
    <row r="98" spans="1:49" s="16" customFormat="1" ht="14.1" customHeight="1" x14ac:dyDescent="0.2">
      <c r="A98" s="1" t="s">
        <v>112</v>
      </c>
      <c r="B98" s="1">
        <v>1462432.3630963599</v>
      </c>
      <c r="C98" s="1">
        <v>-331996.43858091702</v>
      </c>
      <c r="D98" s="1" t="s">
        <v>106</v>
      </c>
      <c r="E98" s="1">
        <v>646115.10381286498</v>
      </c>
      <c r="F98" s="1" t="s">
        <v>106</v>
      </c>
      <c r="G98" s="1" t="s">
        <v>52</v>
      </c>
      <c r="H98" s="1" t="s">
        <v>53</v>
      </c>
      <c r="I98" s="1" t="s">
        <v>54</v>
      </c>
      <c r="J98" s="1">
        <v>9.0500000000000007</v>
      </c>
      <c r="K98" s="1">
        <v>33.96</v>
      </c>
      <c r="L98" s="1" t="s">
        <v>55</v>
      </c>
      <c r="M98" s="2">
        <v>43395</v>
      </c>
      <c r="N98" s="3">
        <v>0.46319444444444446</v>
      </c>
      <c r="O98" s="4">
        <v>0.45348379629629632</v>
      </c>
      <c r="P98" s="2">
        <v>43396</v>
      </c>
      <c r="Q98" s="1">
        <v>40</v>
      </c>
      <c r="R98" s="1" t="s">
        <v>56</v>
      </c>
      <c r="S98" s="1">
        <v>2.6</v>
      </c>
      <c r="T98" s="1">
        <v>0.1</v>
      </c>
      <c r="U98" s="1">
        <v>18.3</v>
      </c>
      <c r="V98" s="1">
        <v>100.7</v>
      </c>
      <c r="W98" s="1">
        <v>9.48</v>
      </c>
      <c r="X98" s="1">
        <v>8.2000000000000003E-2</v>
      </c>
      <c r="Y98" s="1">
        <v>7.47</v>
      </c>
      <c r="Z98" s="1" t="s">
        <v>54</v>
      </c>
      <c r="AA98" s="1">
        <v>10.9</v>
      </c>
      <c r="AB98" s="1">
        <v>22.3</v>
      </c>
      <c r="AC98" s="1" t="s">
        <v>54</v>
      </c>
      <c r="AD98" s="1" t="s">
        <v>54</v>
      </c>
      <c r="AE98" s="1" t="s">
        <v>54</v>
      </c>
      <c r="AF98" s="1" t="s">
        <v>54</v>
      </c>
      <c r="AG98" s="1" t="s">
        <v>54</v>
      </c>
      <c r="AH98" s="1" t="s">
        <v>54</v>
      </c>
      <c r="AI98" s="1" t="s">
        <v>54</v>
      </c>
      <c r="AJ98" s="1" t="s">
        <v>54</v>
      </c>
      <c r="AK98" s="1" t="s">
        <v>54</v>
      </c>
      <c r="AL98" s="1" t="s">
        <v>54</v>
      </c>
      <c r="AM98" s="1" t="s">
        <v>54</v>
      </c>
      <c r="AN98" s="1" t="s">
        <v>54</v>
      </c>
      <c r="AO98" s="1" t="s">
        <v>54</v>
      </c>
      <c r="AP98" s="1" t="s">
        <v>54</v>
      </c>
      <c r="AQ98" s="2">
        <v>43396</v>
      </c>
      <c r="AR98" s="3">
        <v>0.44444444444444442</v>
      </c>
      <c r="AS98" s="1">
        <v>4.5</v>
      </c>
      <c r="AT98" s="1" t="s">
        <v>54</v>
      </c>
      <c r="AU98" s="1" t="s">
        <v>54</v>
      </c>
      <c r="AV98" s="11">
        <v>36.043959999999998</v>
      </c>
      <c r="AW98" s="1">
        <v>78.758244000000005</v>
      </c>
    </row>
    <row r="99" spans="1:49" s="16" customFormat="1" ht="14.1" customHeight="1" x14ac:dyDescent="0.2">
      <c r="A99" s="16" t="s">
        <v>112</v>
      </c>
      <c r="B99" s="16">
        <v>1462432.3630963599</v>
      </c>
      <c r="C99" s="16">
        <v>-331996.43858091702</v>
      </c>
      <c r="D99" s="16" t="s">
        <v>106</v>
      </c>
      <c r="E99" s="16">
        <v>646115.10381286498</v>
      </c>
      <c r="F99" s="16" t="s">
        <v>106</v>
      </c>
      <c r="G99" s="16" t="s">
        <v>52</v>
      </c>
      <c r="H99" s="16" t="s">
        <v>53</v>
      </c>
      <c r="I99" s="16" t="s">
        <v>54</v>
      </c>
      <c r="J99" s="16">
        <v>9.0500000000000007</v>
      </c>
      <c r="K99" s="16">
        <v>33.96</v>
      </c>
      <c r="L99" s="16" t="s">
        <v>55</v>
      </c>
      <c r="M99" s="17">
        <v>43395</v>
      </c>
      <c r="N99" s="18">
        <v>0.46319444444444446</v>
      </c>
      <c r="O99" s="19">
        <v>0.45348379629629632</v>
      </c>
      <c r="P99" s="17">
        <v>43396</v>
      </c>
      <c r="Q99" s="16">
        <v>40</v>
      </c>
      <c r="R99" s="16" t="s">
        <v>56</v>
      </c>
      <c r="S99" s="16">
        <v>2.6</v>
      </c>
      <c r="T99" s="16">
        <v>0.1</v>
      </c>
      <c r="U99" s="16">
        <v>18.3</v>
      </c>
      <c r="V99" s="16">
        <v>100.7</v>
      </c>
      <c r="W99" s="16">
        <v>9.48</v>
      </c>
      <c r="X99" s="16">
        <v>8.2000000000000003E-2</v>
      </c>
      <c r="Y99" s="16">
        <v>7.47</v>
      </c>
      <c r="Z99" s="16" t="s">
        <v>54</v>
      </c>
      <c r="AA99" s="16">
        <v>10.9</v>
      </c>
      <c r="AB99" s="16">
        <v>22.3</v>
      </c>
      <c r="AC99" s="16" t="s">
        <v>54</v>
      </c>
      <c r="AD99" s="16" t="s">
        <v>54</v>
      </c>
      <c r="AE99" s="16" t="s">
        <v>54</v>
      </c>
      <c r="AF99" s="16" t="s">
        <v>54</v>
      </c>
      <c r="AG99" s="16" t="s">
        <v>54</v>
      </c>
      <c r="AH99" s="16" t="s">
        <v>54</v>
      </c>
      <c r="AI99" s="16" t="s">
        <v>54</v>
      </c>
      <c r="AJ99" s="16" t="s">
        <v>54</v>
      </c>
      <c r="AK99" s="16" t="s">
        <v>54</v>
      </c>
      <c r="AL99" s="16" t="s">
        <v>54</v>
      </c>
      <c r="AM99" s="16" t="s">
        <v>54</v>
      </c>
      <c r="AN99" s="16" t="s">
        <v>54</v>
      </c>
      <c r="AO99" s="16" t="s">
        <v>54</v>
      </c>
      <c r="AP99" s="16" t="s">
        <v>54</v>
      </c>
      <c r="AQ99" s="17">
        <v>43396</v>
      </c>
      <c r="AR99" s="18">
        <v>0.44444444444444442</v>
      </c>
      <c r="AS99" s="16">
        <v>4.5</v>
      </c>
      <c r="AT99" s="16" t="s">
        <v>54</v>
      </c>
      <c r="AU99" s="16" t="s">
        <v>54</v>
      </c>
      <c r="AV99" s="16">
        <v>36.093960000000003</v>
      </c>
      <c r="AW99" s="16">
        <v>78.758244000000005</v>
      </c>
    </row>
    <row r="100" spans="1:49" s="16" customFormat="1" ht="14.1" customHeight="1" x14ac:dyDescent="0.2">
      <c r="A100" t="s">
        <v>113</v>
      </c>
      <c r="B100">
        <v>1460419.5007144799</v>
      </c>
      <c r="C100">
        <v>-329793.659151414</v>
      </c>
      <c r="D100" t="s">
        <v>106</v>
      </c>
      <c r="E100">
        <v>646115.10381286498</v>
      </c>
      <c r="F100" t="s">
        <v>106</v>
      </c>
      <c r="G100" t="s">
        <v>52</v>
      </c>
      <c r="H100" s="11" t="s">
        <v>163</v>
      </c>
      <c r="I100" t="s">
        <v>54</v>
      </c>
      <c r="J100">
        <v>9.0500000000000007</v>
      </c>
      <c r="K100">
        <v>33.96</v>
      </c>
      <c r="L100" t="s">
        <v>55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</row>
    <row r="101" spans="1:49" s="16" customFormat="1" ht="14.1" customHeight="1" x14ac:dyDescent="0.2">
      <c r="A101" s="16" t="s">
        <v>113</v>
      </c>
      <c r="B101" s="16">
        <v>1460419.5007144799</v>
      </c>
      <c r="C101" s="16">
        <v>-329793.659151414</v>
      </c>
      <c r="D101" s="16" t="s">
        <v>106</v>
      </c>
      <c r="E101" s="16">
        <v>646115.10381286498</v>
      </c>
      <c r="F101" s="16" t="s">
        <v>106</v>
      </c>
      <c r="G101" s="16" t="s">
        <v>52</v>
      </c>
      <c r="H101" s="16" t="s">
        <v>170</v>
      </c>
      <c r="I101" s="16" t="s">
        <v>54</v>
      </c>
      <c r="J101" s="16">
        <v>9.0500000000000007</v>
      </c>
      <c r="K101" s="16">
        <v>33.96</v>
      </c>
      <c r="L101" s="16" t="s">
        <v>55</v>
      </c>
    </row>
    <row r="102" spans="1:49" s="16" customFormat="1" ht="14.1" customHeight="1" x14ac:dyDescent="0.2">
      <c r="A102" s="1" t="s">
        <v>114</v>
      </c>
      <c r="B102" s="1">
        <v>1461044.0071888999</v>
      </c>
      <c r="C102" s="1">
        <v>-329355.06882734102</v>
      </c>
      <c r="D102" s="1" t="s">
        <v>106</v>
      </c>
      <c r="E102" s="1">
        <v>646115.10381286498</v>
      </c>
      <c r="F102" s="1" t="s">
        <v>106</v>
      </c>
      <c r="G102" s="1" t="s">
        <v>52</v>
      </c>
      <c r="H102" s="1" t="s">
        <v>53</v>
      </c>
      <c r="I102" s="1" t="s">
        <v>54</v>
      </c>
      <c r="J102" s="1">
        <v>9.0500000000000007</v>
      </c>
      <c r="K102" s="1">
        <v>33.96</v>
      </c>
      <c r="L102" s="1" t="s">
        <v>55</v>
      </c>
      <c r="M102" s="2">
        <v>43395</v>
      </c>
      <c r="N102" s="3">
        <v>0.42222222222222222</v>
      </c>
      <c r="O102" s="3">
        <v>0.40925925925925927</v>
      </c>
      <c r="P102" s="2">
        <v>43396</v>
      </c>
      <c r="Q102" s="1">
        <v>40</v>
      </c>
      <c r="R102" s="1" t="s">
        <v>56</v>
      </c>
      <c r="S102" s="1">
        <v>2.2000000000000002</v>
      </c>
      <c r="T102" s="1">
        <v>0.1</v>
      </c>
      <c r="U102" s="1">
        <v>16.399999999999999</v>
      </c>
      <c r="V102" s="1">
        <v>101.4</v>
      </c>
      <c r="W102" s="1">
        <v>9.9600000000000009</v>
      </c>
      <c r="X102" s="1">
        <v>8.4000000000000005E-2</v>
      </c>
      <c r="Y102" s="1">
        <v>7.39</v>
      </c>
      <c r="Z102" s="1" t="s">
        <v>54</v>
      </c>
      <c r="AA102" s="1">
        <v>16.3</v>
      </c>
      <c r="AB102" s="1">
        <v>27</v>
      </c>
      <c r="AC102" s="1" t="s">
        <v>54</v>
      </c>
      <c r="AD102" s="1" t="s">
        <v>54</v>
      </c>
      <c r="AE102" s="1" t="s">
        <v>54</v>
      </c>
      <c r="AF102" s="1" t="s">
        <v>54</v>
      </c>
      <c r="AG102" s="1" t="s">
        <v>54</v>
      </c>
      <c r="AH102" s="1" t="s">
        <v>54</v>
      </c>
      <c r="AI102" s="1" t="s">
        <v>54</v>
      </c>
      <c r="AJ102" s="1" t="s">
        <v>54</v>
      </c>
      <c r="AK102" s="1" t="s">
        <v>54</v>
      </c>
      <c r="AL102" s="1" t="s">
        <v>54</v>
      </c>
      <c r="AM102" s="1" t="s">
        <v>54</v>
      </c>
      <c r="AN102" s="1" t="s">
        <v>54</v>
      </c>
      <c r="AO102" s="1" t="s">
        <v>54</v>
      </c>
      <c r="AP102" s="1" t="s">
        <v>54</v>
      </c>
      <c r="AQ102" s="2">
        <v>43396</v>
      </c>
      <c r="AR102" s="3">
        <v>0.40277777777777773</v>
      </c>
      <c r="AS102" s="1">
        <v>17</v>
      </c>
      <c r="AT102" s="1" t="s">
        <v>115</v>
      </c>
      <c r="AU102" s="1"/>
      <c r="AV102" s="1">
        <v>36.068286999999998</v>
      </c>
      <c r="AW102" s="1">
        <v>78.768611000000007</v>
      </c>
    </row>
    <row r="103" spans="1:49" s="16" customFormat="1" ht="14.1" customHeight="1" x14ac:dyDescent="0.2">
      <c r="A103" s="16" t="s">
        <v>114</v>
      </c>
      <c r="B103" s="16">
        <v>1461044.0071888999</v>
      </c>
      <c r="C103" s="16">
        <v>-329355.06882734102</v>
      </c>
      <c r="D103" s="16" t="s">
        <v>106</v>
      </c>
      <c r="E103" s="16">
        <v>646115.10381286498</v>
      </c>
      <c r="F103" s="16" t="s">
        <v>106</v>
      </c>
      <c r="G103" s="16" t="s">
        <v>52</v>
      </c>
      <c r="H103" s="16" t="s">
        <v>53</v>
      </c>
      <c r="I103" s="16" t="s">
        <v>54</v>
      </c>
      <c r="J103" s="16">
        <v>9.0500000000000007</v>
      </c>
      <c r="K103" s="16">
        <v>33.96</v>
      </c>
      <c r="L103" s="16" t="s">
        <v>55</v>
      </c>
      <c r="M103" s="17">
        <v>43395</v>
      </c>
      <c r="N103" s="18">
        <v>0.42222222222222222</v>
      </c>
      <c r="O103" s="18">
        <v>0.40925925925925927</v>
      </c>
      <c r="P103" s="17">
        <v>43396</v>
      </c>
      <c r="Q103" s="16">
        <v>40</v>
      </c>
      <c r="R103" s="16" t="s">
        <v>56</v>
      </c>
      <c r="S103" s="16">
        <v>2.2000000000000002</v>
      </c>
      <c r="T103" s="16">
        <v>0.1</v>
      </c>
      <c r="U103" s="16">
        <v>16.399999999999999</v>
      </c>
      <c r="V103" s="16">
        <v>101.4</v>
      </c>
      <c r="W103" s="16">
        <v>9.9600000000000009</v>
      </c>
      <c r="X103" s="16">
        <v>8.4000000000000005E-2</v>
      </c>
      <c r="Y103" s="16">
        <v>7.39</v>
      </c>
      <c r="Z103" s="16" t="s">
        <v>54</v>
      </c>
      <c r="AA103" s="16">
        <v>16.3</v>
      </c>
      <c r="AB103" s="16">
        <v>27</v>
      </c>
      <c r="AC103" s="16" t="s">
        <v>54</v>
      </c>
      <c r="AD103" s="16" t="s">
        <v>54</v>
      </c>
      <c r="AE103" s="16" t="s">
        <v>54</v>
      </c>
      <c r="AF103" s="16" t="s">
        <v>54</v>
      </c>
      <c r="AG103" s="16" t="s">
        <v>54</v>
      </c>
      <c r="AH103" s="16" t="s">
        <v>54</v>
      </c>
      <c r="AI103" s="16" t="s">
        <v>54</v>
      </c>
      <c r="AJ103" s="16" t="s">
        <v>54</v>
      </c>
      <c r="AK103" s="16" t="s">
        <v>54</v>
      </c>
      <c r="AL103" s="16" t="s">
        <v>54</v>
      </c>
      <c r="AM103" s="16" t="s">
        <v>54</v>
      </c>
      <c r="AN103" s="16" t="s">
        <v>54</v>
      </c>
      <c r="AO103" s="16" t="s">
        <v>54</v>
      </c>
      <c r="AP103" s="16" t="s">
        <v>54</v>
      </c>
      <c r="AQ103" s="17">
        <v>43396</v>
      </c>
      <c r="AR103" s="18">
        <v>0.40277777777777773</v>
      </c>
      <c r="AS103" s="16">
        <v>17</v>
      </c>
      <c r="AT103" s="16" t="s">
        <v>115</v>
      </c>
      <c r="AV103" s="16">
        <v>36.068286999999998</v>
      </c>
      <c r="AW103" s="16">
        <v>78.768611000000007</v>
      </c>
    </row>
    <row r="104" spans="1:49" s="16" customFormat="1" ht="14.1" customHeight="1" x14ac:dyDescent="0.2">
      <c r="A104" t="s">
        <v>116</v>
      </c>
      <c r="B104">
        <v>1459214.3085318899</v>
      </c>
      <c r="C104">
        <v>-329057.14778433798</v>
      </c>
      <c r="D104" t="s">
        <v>106</v>
      </c>
      <c r="E104">
        <v>646115.10381286498</v>
      </c>
      <c r="F104" t="s">
        <v>106</v>
      </c>
      <c r="G104" t="s">
        <v>52</v>
      </c>
      <c r="H104" s="11" t="s">
        <v>163</v>
      </c>
      <c r="I104" t="s">
        <v>54</v>
      </c>
      <c r="J104">
        <v>9.0500000000000007</v>
      </c>
      <c r="K104">
        <v>33.96</v>
      </c>
      <c r="L104" t="s">
        <v>55</v>
      </c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</row>
    <row r="105" spans="1:49" s="16" customFormat="1" ht="14.1" customHeight="1" x14ac:dyDescent="0.2">
      <c r="A105" s="16" t="s">
        <v>116</v>
      </c>
      <c r="B105" s="16">
        <v>1459214.3085318899</v>
      </c>
      <c r="C105" s="16">
        <v>-329057.14778433798</v>
      </c>
      <c r="D105" s="16" t="s">
        <v>106</v>
      </c>
      <c r="E105" s="16">
        <v>646115.10381286498</v>
      </c>
      <c r="F105" s="16" t="s">
        <v>106</v>
      </c>
      <c r="G105" s="16" t="s">
        <v>52</v>
      </c>
      <c r="H105" s="16" t="s">
        <v>170</v>
      </c>
      <c r="I105" s="16" t="s">
        <v>54</v>
      </c>
      <c r="J105" s="16">
        <v>9.0500000000000007</v>
      </c>
      <c r="K105" s="16">
        <v>33.96</v>
      </c>
      <c r="L105" s="16" t="s">
        <v>55</v>
      </c>
    </row>
    <row r="106" spans="1:49" s="16" customFormat="1" ht="14.1" customHeight="1" x14ac:dyDescent="0.2">
      <c r="A106" s="1" t="s">
        <v>117</v>
      </c>
      <c r="B106" s="1">
        <v>1462405.38347255</v>
      </c>
      <c r="C106" s="1">
        <v>-331127.92091316101</v>
      </c>
      <c r="D106" s="1" t="s">
        <v>106</v>
      </c>
      <c r="E106" s="1">
        <v>646115.10381286498</v>
      </c>
      <c r="F106" s="1" t="s">
        <v>106</v>
      </c>
      <c r="G106" s="1" t="s">
        <v>52</v>
      </c>
      <c r="H106" s="1" t="s">
        <v>53</v>
      </c>
      <c r="I106" s="1" t="s">
        <v>54</v>
      </c>
      <c r="J106" s="1">
        <v>9.0500000000000007</v>
      </c>
      <c r="K106" s="1">
        <v>33.96</v>
      </c>
      <c r="L106" s="1" t="s">
        <v>55</v>
      </c>
      <c r="M106" s="2">
        <v>43395</v>
      </c>
      <c r="N106" s="3">
        <v>0.45069444444444445</v>
      </c>
      <c r="O106" s="4">
        <v>0.44077546296296299</v>
      </c>
      <c r="P106" s="2">
        <v>43396</v>
      </c>
      <c r="Q106" s="1">
        <v>40</v>
      </c>
      <c r="R106" s="1" t="s">
        <v>56</v>
      </c>
      <c r="S106" s="1">
        <v>2.8</v>
      </c>
      <c r="T106" s="1">
        <v>0.1</v>
      </c>
      <c r="U106" s="1">
        <v>16.7</v>
      </c>
      <c r="V106" s="1">
        <v>107.3</v>
      </c>
      <c r="W106" s="1">
        <v>10.4</v>
      </c>
      <c r="X106" s="1">
        <v>8.1000000000000003E-2</v>
      </c>
      <c r="Y106" s="1">
        <v>7.45</v>
      </c>
      <c r="Z106" s="1" t="s">
        <v>54</v>
      </c>
      <c r="AA106" s="1">
        <v>13.4</v>
      </c>
      <c r="AB106" s="1">
        <v>28.4</v>
      </c>
      <c r="AC106" s="1" t="s">
        <v>54</v>
      </c>
      <c r="AD106" s="1" t="s">
        <v>54</v>
      </c>
      <c r="AE106" s="1" t="s">
        <v>54</v>
      </c>
      <c r="AF106" s="1" t="s">
        <v>54</v>
      </c>
      <c r="AG106" s="1" t="s">
        <v>54</v>
      </c>
      <c r="AH106" s="1" t="s">
        <v>54</v>
      </c>
      <c r="AI106" s="1" t="s">
        <v>54</v>
      </c>
      <c r="AJ106" s="1" t="s">
        <v>54</v>
      </c>
      <c r="AK106" s="1" t="s">
        <v>54</v>
      </c>
      <c r="AL106" s="1" t="s">
        <v>54</v>
      </c>
      <c r="AM106" s="1" t="s">
        <v>54</v>
      </c>
      <c r="AN106" s="1" t="s">
        <v>54</v>
      </c>
      <c r="AO106" s="1" t="s">
        <v>54</v>
      </c>
      <c r="AP106" s="1" t="s">
        <v>54</v>
      </c>
      <c r="AQ106" s="2">
        <v>43396</v>
      </c>
      <c r="AR106" s="3">
        <v>0.43472222222222223</v>
      </c>
      <c r="AS106" s="1">
        <v>8</v>
      </c>
      <c r="AT106" s="1" t="s">
        <v>54</v>
      </c>
      <c r="AU106" s="1" t="s">
        <v>54</v>
      </c>
      <c r="AV106" s="1">
        <v>36.051225000000002</v>
      </c>
      <c r="AW106" s="1">
        <v>78.756766999999996</v>
      </c>
    </row>
    <row r="107" spans="1:49" s="16" customFormat="1" ht="14.1" customHeight="1" x14ac:dyDescent="0.2">
      <c r="A107" s="16" t="s">
        <v>117</v>
      </c>
      <c r="B107" s="16">
        <v>1462405.38347255</v>
      </c>
      <c r="C107" s="16">
        <v>-331127.92091316101</v>
      </c>
      <c r="D107" s="16" t="s">
        <v>106</v>
      </c>
      <c r="E107" s="16">
        <v>646115.10381286498</v>
      </c>
      <c r="F107" s="16" t="s">
        <v>106</v>
      </c>
      <c r="G107" s="16" t="s">
        <v>52</v>
      </c>
      <c r="H107" s="16" t="s">
        <v>53</v>
      </c>
      <c r="I107" s="16" t="s">
        <v>54</v>
      </c>
      <c r="J107" s="16">
        <v>9.0500000000000007</v>
      </c>
      <c r="K107" s="16">
        <v>33.96</v>
      </c>
      <c r="L107" s="16" t="s">
        <v>55</v>
      </c>
      <c r="M107" s="17">
        <v>43395</v>
      </c>
      <c r="N107" s="18">
        <v>0.45069444444444445</v>
      </c>
      <c r="O107" s="19">
        <v>0.44077546296296299</v>
      </c>
      <c r="P107" s="17">
        <v>43396</v>
      </c>
      <c r="Q107" s="16">
        <v>40</v>
      </c>
      <c r="R107" s="16" t="s">
        <v>56</v>
      </c>
      <c r="S107" s="16">
        <v>2.8</v>
      </c>
      <c r="T107" s="16">
        <v>0.1</v>
      </c>
      <c r="U107" s="16">
        <v>16.7</v>
      </c>
      <c r="V107" s="16">
        <v>107.3</v>
      </c>
      <c r="W107" s="16">
        <v>10.4</v>
      </c>
      <c r="X107" s="16">
        <v>8.1000000000000003E-2</v>
      </c>
      <c r="Y107" s="16">
        <v>7.45</v>
      </c>
      <c r="Z107" s="16" t="s">
        <v>54</v>
      </c>
      <c r="AA107" s="16">
        <v>13.4</v>
      </c>
      <c r="AB107" s="16">
        <v>28.4</v>
      </c>
      <c r="AC107" s="16" t="s">
        <v>54</v>
      </c>
      <c r="AD107" s="16" t="s">
        <v>54</v>
      </c>
      <c r="AE107" s="16" t="s">
        <v>54</v>
      </c>
      <c r="AF107" s="16" t="s">
        <v>54</v>
      </c>
      <c r="AG107" s="16" t="s">
        <v>54</v>
      </c>
      <c r="AH107" s="16" t="s">
        <v>54</v>
      </c>
      <c r="AI107" s="16" t="s">
        <v>54</v>
      </c>
      <c r="AJ107" s="16" t="s">
        <v>54</v>
      </c>
      <c r="AK107" s="16" t="s">
        <v>54</v>
      </c>
      <c r="AL107" s="16" t="s">
        <v>54</v>
      </c>
      <c r="AM107" s="16" t="s">
        <v>54</v>
      </c>
      <c r="AN107" s="16" t="s">
        <v>54</v>
      </c>
      <c r="AO107" s="16" t="s">
        <v>54</v>
      </c>
      <c r="AP107" s="16" t="s">
        <v>54</v>
      </c>
      <c r="AQ107" s="17">
        <v>43396</v>
      </c>
      <c r="AR107" s="18">
        <v>0.43472222222222223</v>
      </c>
      <c r="AS107" s="16">
        <v>8</v>
      </c>
      <c r="AT107" s="16" t="s">
        <v>54</v>
      </c>
      <c r="AU107" s="16" t="s">
        <v>54</v>
      </c>
      <c r="AV107" s="16">
        <v>36.051225000000002</v>
      </c>
      <c r="AW107" s="16">
        <v>78.756766999999996</v>
      </c>
    </row>
    <row r="108" spans="1:49" s="16" customFormat="1" ht="14.1" customHeight="1" x14ac:dyDescent="0.2">
      <c r="A108" s="1" t="s">
        <v>118</v>
      </c>
      <c r="B108" s="1">
        <v>1459545.6584246</v>
      </c>
      <c r="C108" s="1">
        <v>-329684.59249679599</v>
      </c>
      <c r="D108" s="1" t="s">
        <v>106</v>
      </c>
      <c r="E108" s="1">
        <v>646115.10381286498</v>
      </c>
      <c r="F108" s="1" t="s">
        <v>106</v>
      </c>
      <c r="G108" s="1" t="s">
        <v>52</v>
      </c>
      <c r="H108" s="1" t="s">
        <v>53</v>
      </c>
      <c r="I108" s="1" t="s">
        <v>54</v>
      </c>
      <c r="J108" s="1">
        <v>9.0500000000000007</v>
      </c>
      <c r="K108" s="1">
        <v>33.96</v>
      </c>
      <c r="L108" s="1" t="s">
        <v>55</v>
      </c>
      <c r="M108" s="2">
        <v>43395</v>
      </c>
      <c r="N108" s="3">
        <v>0.39652777777777781</v>
      </c>
      <c r="O108" s="3">
        <v>0.38299768518518523</v>
      </c>
      <c r="P108" s="2">
        <v>43396</v>
      </c>
      <c r="Q108" s="1">
        <v>45</v>
      </c>
      <c r="R108" s="1" t="s">
        <v>56</v>
      </c>
      <c r="S108" s="1">
        <v>1.1000000000000001</v>
      </c>
      <c r="T108" s="1">
        <v>0.1</v>
      </c>
      <c r="U108" s="1">
        <v>15.2</v>
      </c>
      <c r="V108" s="1">
        <v>104.7</v>
      </c>
      <c r="W108" s="1">
        <v>10.56</v>
      </c>
      <c r="X108" s="1">
        <v>9.1999999999999998E-2</v>
      </c>
      <c r="Y108" s="1">
        <v>7.14</v>
      </c>
      <c r="Z108" s="1" t="s">
        <v>54</v>
      </c>
      <c r="AA108" s="1">
        <v>24.8</v>
      </c>
      <c r="AB108" s="1">
        <v>27.8</v>
      </c>
      <c r="AC108" s="1" t="s">
        <v>54</v>
      </c>
      <c r="AD108" s="1" t="s">
        <v>54</v>
      </c>
      <c r="AE108" s="1" t="s">
        <v>54</v>
      </c>
      <c r="AF108" s="1" t="s">
        <v>54</v>
      </c>
      <c r="AG108" s="1" t="s">
        <v>54</v>
      </c>
      <c r="AH108" s="1" t="s">
        <v>54</v>
      </c>
      <c r="AI108" s="1" t="s">
        <v>54</v>
      </c>
      <c r="AJ108" s="1" t="s">
        <v>54</v>
      </c>
      <c r="AK108" s="1" t="s">
        <v>54</v>
      </c>
      <c r="AL108" s="1" t="s">
        <v>54</v>
      </c>
      <c r="AM108" s="1" t="s">
        <v>54</v>
      </c>
      <c r="AN108" s="1" t="s">
        <v>54</v>
      </c>
      <c r="AO108" s="1" t="s">
        <v>54</v>
      </c>
      <c r="AP108" s="1" t="s">
        <v>54</v>
      </c>
      <c r="AQ108" s="2">
        <v>43396</v>
      </c>
      <c r="AR108" s="3">
        <v>0.375</v>
      </c>
      <c r="AS108" s="1">
        <v>0.5</v>
      </c>
      <c r="AT108" s="1" t="s">
        <v>54</v>
      </c>
      <c r="AU108" s="1" t="s">
        <v>54</v>
      </c>
      <c r="AV108" s="1">
        <v>36.068142999999999</v>
      </c>
      <c r="AW108" s="1">
        <v>78.786058999999995</v>
      </c>
    </row>
    <row r="109" spans="1:49" s="16" customFormat="1" ht="14.1" customHeight="1" x14ac:dyDescent="0.2">
      <c r="A109" s="16" t="s">
        <v>118</v>
      </c>
      <c r="B109" s="16">
        <v>1459545.6584246</v>
      </c>
      <c r="C109" s="16">
        <v>-329684.59249679599</v>
      </c>
      <c r="D109" s="16" t="s">
        <v>106</v>
      </c>
      <c r="E109" s="16">
        <v>646115.10381286498</v>
      </c>
      <c r="F109" s="16" t="s">
        <v>106</v>
      </c>
      <c r="G109" s="16" t="s">
        <v>52</v>
      </c>
      <c r="H109" s="16" t="s">
        <v>53</v>
      </c>
      <c r="I109" s="16" t="s">
        <v>54</v>
      </c>
      <c r="J109" s="16">
        <v>9.0500000000000007</v>
      </c>
      <c r="K109" s="16">
        <v>33.96</v>
      </c>
      <c r="L109" s="16" t="s">
        <v>55</v>
      </c>
      <c r="M109" s="17">
        <v>43395</v>
      </c>
      <c r="N109" s="18">
        <v>0.39652777777777781</v>
      </c>
      <c r="O109" s="18">
        <v>0.38299768518518523</v>
      </c>
      <c r="P109" s="17">
        <v>43396</v>
      </c>
      <c r="Q109" s="16">
        <v>45</v>
      </c>
      <c r="R109" s="16" t="s">
        <v>56</v>
      </c>
      <c r="S109" s="16">
        <v>1.1000000000000001</v>
      </c>
      <c r="T109" s="16">
        <v>0.1</v>
      </c>
      <c r="U109" s="16">
        <v>15.2</v>
      </c>
      <c r="V109" s="16">
        <v>104.7</v>
      </c>
      <c r="W109" s="16">
        <v>10.56</v>
      </c>
      <c r="X109" s="16">
        <v>9.1999999999999998E-2</v>
      </c>
      <c r="Y109" s="16">
        <v>7.14</v>
      </c>
      <c r="Z109" s="16" t="s">
        <v>54</v>
      </c>
      <c r="AA109" s="16">
        <v>24.8</v>
      </c>
      <c r="AB109" s="16">
        <v>27.8</v>
      </c>
      <c r="AC109" s="16" t="s">
        <v>54</v>
      </c>
      <c r="AD109" s="16" t="s">
        <v>54</v>
      </c>
      <c r="AE109" s="16" t="s">
        <v>54</v>
      </c>
      <c r="AF109" s="16" t="s">
        <v>54</v>
      </c>
      <c r="AG109" s="16" t="s">
        <v>54</v>
      </c>
      <c r="AH109" s="16" t="s">
        <v>54</v>
      </c>
      <c r="AI109" s="16" t="s">
        <v>54</v>
      </c>
      <c r="AJ109" s="16" t="s">
        <v>54</v>
      </c>
      <c r="AK109" s="16" t="s">
        <v>54</v>
      </c>
      <c r="AL109" s="16" t="s">
        <v>54</v>
      </c>
      <c r="AM109" s="16" t="s">
        <v>54</v>
      </c>
      <c r="AN109" s="16" t="s">
        <v>54</v>
      </c>
      <c r="AO109" s="16" t="s">
        <v>54</v>
      </c>
      <c r="AP109" s="16" t="s">
        <v>54</v>
      </c>
      <c r="AQ109" s="17">
        <v>43396</v>
      </c>
      <c r="AR109" s="18">
        <v>0.375</v>
      </c>
      <c r="AS109" s="16">
        <v>0.5</v>
      </c>
      <c r="AT109" s="16" t="s">
        <v>54</v>
      </c>
      <c r="AU109" s="16" t="s">
        <v>54</v>
      </c>
      <c r="AV109" s="16">
        <v>36.068142999999999</v>
      </c>
      <c r="AW109" s="16">
        <v>78.786058999999995</v>
      </c>
    </row>
    <row r="110" spans="1:49" s="16" customFormat="1" ht="14.1" customHeight="1" x14ac:dyDescent="0.2">
      <c r="A110" t="s">
        <v>119</v>
      </c>
      <c r="B110">
        <v>1460710.10350598</v>
      </c>
      <c r="C110">
        <v>-331828.07014131598</v>
      </c>
      <c r="D110" t="s">
        <v>106</v>
      </c>
      <c r="E110">
        <v>646115.10381286498</v>
      </c>
      <c r="F110" t="s">
        <v>106</v>
      </c>
      <c r="G110" t="s">
        <v>52</v>
      </c>
      <c r="H110" s="11" t="s">
        <v>163</v>
      </c>
      <c r="I110" t="s">
        <v>54</v>
      </c>
      <c r="J110">
        <v>9.0500000000000007</v>
      </c>
      <c r="K110">
        <v>33.96</v>
      </c>
      <c r="L110" t="s">
        <v>55</v>
      </c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</row>
    <row r="111" spans="1:49" s="16" customFormat="1" ht="14.1" customHeight="1" x14ac:dyDescent="0.2">
      <c r="A111" s="16" t="s">
        <v>119</v>
      </c>
      <c r="B111" s="16">
        <v>1460710.10350598</v>
      </c>
      <c r="C111" s="16">
        <v>-331828.07014131598</v>
      </c>
      <c r="D111" s="16" t="s">
        <v>106</v>
      </c>
      <c r="E111" s="16">
        <v>646115.10381286498</v>
      </c>
      <c r="F111" s="16" t="s">
        <v>106</v>
      </c>
      <c r="G111" s="16" t="s">
        <v>52</v>
      </c>
      <c r="H111" s="16" t="s">
        <v>170</v>
      </c>
      <c r="I111" s="16" t="s">
        <v>54</v>
      </c>
      <c r="J111" s="16">
        <v>9.0500000000000007</v>
      </c>
      <c r="K111" s="16">
        <v>33.96</v>
      </c>
      <c r="L111" s="16" t="s">
        <v>55</v>
      </c>
    </row>
    <row r="112" spans="1:49" s="16" customFormat="1" ht="14.1" customHeight="1" x14ac:dyDescent="0.2">
      <c r="A112" s="1" t="s">
        <v>120</v>
      </c>
      <c r="B112" s="1">
        <v>1461494.6966983201</v>
      </c>
      <c r="C112" s="1">
        <v>-327926.46614629403</v>
      </c>
      <c r="D112" s="1" t="s">
        <v>106</v>
      </c>
      <c r="E112" s="1">
        <v>646115.10381286498</v>
      </c>
      <c r="F112" s="1" t="s">
        <v>106</v>
      </c>
      <c r="G112" s="1" t="s">
        <v>52</v>
      </c>
      <c r="H112" s="1" t="s">
        <v>53</v>
      </c>
      <c r="I112" s="1" t="s">
        <v>54</v>
      </c>
      <c r="J112" s="1">
        <v>9.0500000000000007</v>
      </c>
      <c r="K112" s="1">
        <v>33.96</v>
      </c>
      <c r="L112" s="1" t="s">
        <v>55</v>
      </c>
      <c r="M112" s="2">
        <v>43395</v>
      </c>
      <c r="N112" s="3">
        <v>0.41180555555555554</v>
      </c>
      <c r="O112" s="3">
        <v>0.3963888888888889</v>
      </c>
      <c r="P112" s="2">
        <v>43396</v>
      </c>
      <c r="Q112" s="1">
        <v>40</v>
      </c>
      <c r="R112" s="1" t="s">
        <v>56</v>
      </c>
      <c r="S112" s="1">
        <v>1.4</v>
      </c>
      <c r="T112" s="1">
        <v>0.1</v>
      </c>
      <c r="U112" s="1">
        <v>16.600000000000001</v>
      </c>
      <c r="V112" s="1">
        <v>107.4</v>
      </c>
      <c r="W112" s="1">
        <v>10.57</v>
      </c>
      <c r="X112" s="1">
        <v>8.8999999999999996E-2</v>
      </c>
      <c r="Y112" s="1">
        <v>7.22</v>
      </c>
      <c r="Z112" s="1" t="s">
        <v>54</v>
      </c>
      <c r="AA112" s="1">
        <v>18.600000000000001</v>
      </c>
      <c r="AB112" s="1">
        <v>26</v>
      </c>
      <c r="AC112" s="1" t="s">
        <v>54</v>
      </c>
      <c r="AD112" s="1" t="s">
        <v>54</v>
      </c>
      <c r="AE112" s="1" t="s">
        <v>54</v>
      </c>
      <c r="AF112" s="1" t="s">
        <v>54</v>
      </c>
      <c r="AG112" s="1" t="s">
        <v>54</v>
      </c>
      <c r="AH112" s="1" t="s">
        <v>54</v>
      </c>
      <c r="AI112" s="1" t="s">
        <v>54</v>
      </c>
      <c r="AJ112" s="1" t="s">
        <v>54</v>
      </c>
      <c r="AK112" s="1" t="s">
        <v>54</v>
      </c>
      <c r="AL112" s="1" t="s">
        <v>54</v>
      </c>
      <c r="AM112" s="1" t="s">
        <v>54</v>
      </c>
      <c r="AN112" s="1" t="s">
        <v>54</v>
      </c>
      <c r="AO112" s="1" t="s">
        <v>54</v>
      </c>
      <c r="AP112" s="1" t="s">
        <v>54</v>
      </c>
      <c r="AQ112" s="2">
        <v>43396</v>
      </c>
      <c r="AR112" s="3">
        <v>0.38958333333333334</v>
      </c>
      <c r="AS112" s="1">
        <v>0.5</v>
      </c>
      <c r="AT112" s="1" t="s">
        <v>54</v>
      </c>
      <c r="AU112" s="1" t="s">
        <v>54</v>
      </c>
      <c r="AV112" s="1">
        <v>36.079635000000003</v>
      </c>
      <c r="AW112" s="1">
        <v>78.760328999999999</v>
      </c>
    </row>
    <row r="113" spans="1:49" s="16" customFormat="1" ht="14.1" customHeight="1" x14ac:dyDescent="0.2">
      <c r="A113" s="16" t="s">
        <v>120</v>
      </c>
      <c r="B113" s="16">
        <v>1461494.6966983201</v>
      </c>
      <c r="C113" s="16">
        <v>-327926.46614629403</v>
      </c>
      <c r="D113" s="16" t="s">
        <v>106</v>
      </c>
      <c r="E113" s="16">
        <v>646115.10381286498</v>
      </c>
      <c r="F113" s="16" t="s">
        <v>106</v>
      </c>
      <c r="G113" s="16" t="s">
        <v>52</v>
      </c>
      <c r="H113" s="16" t="s">
        <v>53</v>
      </c>
      <c r="I113" s="16" t="s">
        <v>54</v>
      </c>
      <c r="J113" s="16">
        <v>9.0500000000000007</v>
      </c>
      <c r="K113" s="16">
        <v>33.96</v>
      </c>
      <c r="L113" s="16" t="s">
        <v>55</v>
      </c>
      <c r="M113" s="17">
        <v>43395</v>
      </c>
      <c r="N113" s="18">
        <v>0.41180555555555554</v>
      </c>
      <c r="O113" s="18">
        <v>0.3963888888888889</v>
      </c>
      <c r="P113" s="17">
        <v>43396</v>
      </c>
      <c r="Q113" s="16">
        <v>40</v>
      </c>
      <c r="R113" s="16" t="s">
        <v>56</v>
      </c>
      <c r="S113" s="16">
        <v>1.4</v>
      </c>
      <c r="T113" s="16">
        <v>0.1</v>
      </c>
      <c r="U113" s="16">
        <v>16.600000000000001</v>
      </c>
      <c r="V113" s="16">
        <v>107.4</v>
      </c>
      <c r="W113" s="16">
        <v>10.57</v>
      </c>
      <c r="X113" s="16">
        <v>8.8999999999999996E-2</v>
      </c>
      <c r="Y113" s="16">
        <v>7.22</v>
      </c>
      <c r="Z113" s="16" t="s">
        <v>54</v>
      </c>
      <c r="AA113" s="16">
        <v>18.600000000000001</v>
      </c>
      <c r="AB113" s="16">
        <v>26</v>
      </c>
      <c r="AC113" s="16" t="s">
        <v>54</v>
      </c>
      <c r="AD113" s="16" t="s">
        <v>54</v>
      </c>
      <c r="AE113" s="16" t="s">
        <v>54</v>
      </c>
      <c r="AF113" s="16" t="s">
        <v>54</v>
      </c>
      <c r="AG113" s="16" t="s">
        <v>54</v>
      </c>
      <c r="AH113" s="16" t="s">
        <v>54</v>
      </c>
      <c r="AI113" s="16" t="s">
        <v>54</v>
      </c>
      <c r="AJ113" s="16" t="s">
        <v>54</v>
      </c>
      <c r="AK113" s="16" t="s">
        <v>54</v>
      </c>
      <c r="AL113" s="16" t="s">
        <v>54</v>
      </c>
      <c r="AM113" s="16" t="s">
        <v>54</v>
      </c>
      <c r="AN113" s="16" t="s">
        <v>54</v>
      </c>
      <c r="AO113" s="16" t="s">
        <v>54</v>
      </c>
      <c r="AP113" s="16" t="s">
        <v>54</v>
      </c>
      <c r="AQ113" s="17">
        <v>43396</v>
      </c>
      <c r="AR113" s="18">
        <v>0.38958333333333334</v>
      </c>
      <c r="AS113" s="16">
        <v>0.5</v>
      </c>
      <c r="AT113" s="16" t="s">
        <v>54</v>
      </c>
      <c r="AU113" s="16" t="s">
        <v>54</v>
      </c>
      <c r="AV113" s="16">
        <v>36.079635000000003</v>
      </c>
      <c r="AW113" s="16">
        <v>78.760328999999999</v>
      </c>
    </row>
    <row r="114" spans="1:49" s="16" customFormat="1" ht="14.1" customHeight="1" x14ac:dyDescent="0.2">
      <c r="A114" s="1" t="s">
        <v>121</v>
      </c>
      <c r="B114" s="1">
        <v>1458850.18612617</v>
      </c>
      <c r="C114" s="1">
        <v>-329663.84827559098</v>
      </c>
      <c r="D114" s="1" t="s">
        <v>106</v>
      </c>
      <c r="E114" s="1">
        <v>646115.10381286498</v>
      </c>
      <c r="F114" s="1" t="s">
        <v>106</v>
      </c>
      <c r="G114" s="1" t="s">
        <v>52</v>
      </c>
      <c r="H114" s="1" t="s">
        <v>53</v>
      </c>
      <c r="I114" s="1" t="s">
        <v>54</v>
      </c>
      <c r="J114" s="1">
        <v>9.0500000000000007</v>
      </c>
      <c r="K114" s="1">
        <v>33.96</v>
      </c>
      <c r="L114" s="1" t="s">
        <v>55</v>
      </c>
      <c r="M114" s="2">
        <v>43395</v>
      </c>
      <c r="N114" s="3">
        <v>0.38541666666666669</v>
      </c>
      <c r="O114" s="3">
        <v>0.36932870370370369</v>
      </c>
      <c r="P114" s="2">
        <v>43396</v>
      </c>
      <c r="Q114" s="1">
        <v>45</v>
      </c>
      <c r="R114" s="1" t="s">
        <v>56</v>
      </c>
      <c r="S114" s="1">
        <v>1.3</v>
      </c>
      <c r="T114" s="1">
        <v>0.1</v>
      </c>
      <c r="U114" s="1">
        <v>15.1</v>
      </c>
      <c r="V114" s="1">
        <v>110.7</v>
      </c>
      <c r="W114" s="1">
        <v>11.16</v>
      </c>
      <c r="X114" s="1">
        <v>0.17299999999999999</v>
      </c>
      <c r="Y114" s="1">
        <v>7.06</v>
      </c>
      <c r="Z114" s="1" t="s">
        <v>54</v>
      </c>
      <c r="AA114" s="1">
        <v>15.7</v>
      </c>
      <c r="AB114" s="1">
        <v>32.200000000000003</v>
      </c>
      <c r="AC114" s="1" t="s">
        <v>54</v>
      </c>
      <c r="AD114" s="1" t="s">
        <v>54</v>
      </c>
      <c r="AE114" s="1" t="s">
        <v>54</v>
      </c>
      <c r="AF114" s="1" t="s">
        <v>54</v>
      </c>
      <c r="AG114" s="1" t="s">
        <v>54</v>
      </c>
      <c r="AH114" s="1" t="s">
        <v>54</v>
      </c>
      <c r="AI114" s="1" t="s">
        <v>54</v>
      </c>
      <c r="AJ114" s="1" t="s">
        <v>54</v>
      </c>
      <c r="AK114" s="1" t="s">
        <v>54</v>
      </c>
      <c r="AL114" s="1" t="s">
        <v>54</v>
      </c>
      <c r="AM114" s="1" t="s">
        <v>54</v>
      </c>
      <c r="AN114" s="1" t="s">
        <v>54</v>
      </c>
      <c r="AO114" s="1" t="s">
        <v>54</v>
      </c>
      <c r="AP114" s="1" t="s">
        <v>54</v>
      </c>
      <c r="AQ114" s="2">
        <v>43396</v>
      </c>
      <c r="AR114" s="3">
        <v>0.3611111111111111</v>
      </c>
      <c r="AS114" s="1">
        <v>0</v>
      </c>
      <c r="AT114" s="1" t="s">
        <v>54</v>
      </c>
      <c r="AU114" s="1" t="s">
        <v>54</v>
      </c>
      <c r="AV114" s="1">
        <v>36.069000000000003</v>
      </c>
      <c r="AW114" s="1">
        <v>78.794756000000007</v>
      </c>
    </row>
    <row r="115" spans="1:49" s="16" customFormat="1" ht="14.1" customHeight="1" x14ac:dyDescent="0.2">
      <c r="A115" s="16" t="s">
        <v>121</v>
      </c>
      <c r="B115" s="16">
        <v>1458850.18612617</v>
      </c>
      <c r="C115" s="16">
        <v>-329663.84827559098</v>
      </c>
      <c r="D115" s="16" t="s">
        <v>106</v>
      </c>
      <c r="E115" s="16">
        <v>646115.10381286498</v>
      </c>
      <c r="F115" s="16" t="s">
        <v>106</v>
      </c>
      <c r="G115" s="16" t="s">
        <v>52</v>
      </c>
      <c r="H115" s="16" t="s">
        <v>53</v>
      </c>
      <c r="I115" s="16" t="s">
        <v>54</v>
      </c>
      <c r="J115" s="16">
        <v>9.0500000000000007</v>
      </c>
      <c r="K115" s="16">
        <v>33.96</v>
      </c>
      <c r="L115" s="16" t="s">
        <v>55</v>
      </c>
      <c r="M115" s="17">
        <v>43395</v>
      </c>
      <c r="N115" s="18">
        <v>0.38541666666666669</v>
      </c>
      <c r="O115" s="18">
        <v>0.36932870370370369</v>
      </c>
      <c r="P115" s="17">
        <v>43396</v>
      </c>
      <c r="Q115" s="16">
        <v>45</v>
      </c>
      <c r="R115" s="16" t="s">
        <v>56</v>
      </c>
      <c r="S115" s="16">
        <v>1.3</v>
      </c>
      <c r="T115" s="16">
        <v>0.1</v>
      </c>
      <c r="U115" s="16">
        <v>15.1</v>
      </c>
      <c r="V115" s="16">
        <v>110.7</v>
      </c>
      <c r="W115" s="16">
        <v>11.16</v>
      </c>
      <c r="X115" s="16">
        <v>0.17299999999999999</v>
      </c>
      <c r="Y115" s="16">
        <v>7.06</v>
      </c>
      <c r="Z115" s="16" t="s">
        <v>54</v>
      </c>
      <c r="AA115" s="16">
        <v>15.7</v>
      </c>
      <c r="AB115" s="16">
        <v>32.200000000000003</v>
      </c>
      <c r="AC115" s="16" t="s">
        <v>54</v>
      </c>
      <c r="AD115" s="16" t="s">
        <v>54</v>
      </c>
      <c r="AE115" s="16" t="s">
        <v>54</v>
      </c>
      <c r="AF115" s="16" t="s">
        <v>54</v>
      </c>
      <c r="AG115" s="16" t="s">
        <v>54</v>
      </c>
      <c r="AH115" s="16" t="s">
        <v>54</v>
      </c>
      <c r="AI115" s="16" t="s">
        <v>54</v>
      </c>
      <c r="AJ115" s="16" t="s">
        <v>54</v>
      </c>
      <c r="AK115" s="16" t="s">
        <v>54</v>
      </c>
      <c r="AL115" s="16" t="s">
        <v>54</v>
      </c>
      <c r="AM115" s="16" t="s">
        <v>54</v>
      </c>
      <c r="AN115" s="16" t="s">
        <v>54</v>
      </c>
      <c r="AO115" s="16" t="s">
        <v>54</v>
      </c>
      <c r="AP115" s="16" t="s">
        <v>54</v>
      </c>
      <c r="AQ115" s="17">
        <v>43396</v>
      </c>
      <c r="AR115" s="18">
        <v>0.3611111111111111</v>
      </c>
      <c r="AS115" s="16">
        <v>0</v>
      </c>
      <c r="AT115" s="16" t="s">
        <v>54</v>
      </c>
      <c r="AU115" s="16" t="s">
        <v>54</v>
      </c>
      <c r="AV115" s="16">
        <v>36.069000000000003</v>
      </c>
      <c r="AW115" s="16">
        <v>78.794756000000007</v>
      </c>
    </row>
    <row r="116" spans="1:49" s="16" customFormat="1" ht="14.1" customHeight="1" x14ac:dyDescent="0.2">
      <c r="A116" s="1" t="s">
        <v>122</v>
      </c>
      <c r="B116" s="1">
        <v>1461556.41889928</v>
      </c>
      <c r="C116" s="1">
        <v>-330515.08316079603</v>
      </c>
      <c r="D116" s="1" t="s">
        <v>106</v>
      </c>
      <c r="E116" s="1">
        <v>646115.10381286498</v>
      </c>
      <c r="F116" s="1" t="s">
        <v>106</v>
      </c>
      <c r="G116" s="1" t="s">
        <v>52</v>
      </c>
      <c r="H116" s="1" t="s">
        <v>53</v>
      </c>
      <c r="I116" s="1" t="s">
        <v>54</v>
      </c>
      <c r="J116" s="1">
        <v>9.0500000000000007</v>
      </c>
      <c r="K116" s="1">
        <v>33.96</v>
      </c>
      <c r="L116" s="1" t="s">
        <v>55</v>
      </c>
      <c r="M116" s="2">
        <v>43395</v>
      </c>
      <c r="N116" s="3">
        <v>0.43541666666666662</v>
      </c>
      <c r="O116" s="4">
        <v>0.42486111111111113</v>
      </c>
      <c r="P116" s="2">
        <v>43396</v>
      </c>
      <c r="Q116" s="1">
        <v>40</v>
      </c>
      <c r="R116" s="1" t="s">
        <v>56</v>
      </c>
      <c r="S116" s="1">
        <v>2</v>
      </c>
      <c r="T116" s="1">
        <v>0.1</v>
      </c>
      <c r="U116" s="1">
        <v>16.7</v>
      </c>
      <c r="V116" s="1">
        <v>100.9</v>
      </c>
      <c r="W116" s="1">
        <v>9.89</v>
      </c>
      <c r="X116" s="1">
        <v>8.4000000000000005E-2</v>
      </c>
      <c r="Y116" s="1">
        <v>7.41</v>
      </c>
      <c r="Z116" s="1" t="s">
        <v>54</v>
      </c>
      <c r="AA116" s="1">
        <v>17</v>
      </c>
      <c r="AB116" s="1">
        <v>21</v>
      </c>
      <c r="AC116" s="1" t="s">
        <v>54</v>
      </c>
      <c r="AD116" s="1" t="s">
        <v>54</v>
      </c>
      <c r="AE116" s="1" t="s">
        <v>54</v>
      </c>
      <c r="AF116" s="1" t="s">
        <v>54</v>
      </c>
      <c r="AG116" s="1" t="s">
        <v>54</v>
      </c>
      <c r="AH116" s="1" t="s">
        <v>54</v>
      </c>
      <c r="AI116" s="1" t="s">
        <v>54</v>
      </c>
      <c r="AJ116" s="1" t="s">
        <v>54</v>
      </c>
      <c r="AK116" s="1" t="s">
        <v>54</v>
      </c>
      <c r="AL116" s="1" t="s">
        <v>54</v>
      </c>
      <c r="AM116" s="1" t="s">
        <v>54</v>
      </c>
      <c r="AN116" s="1" t="s">
        <v>54</v>
      </c>
      <c r="AO116" s="1" t="s">
        <v>54</v>
      </c>
      <c r="AP116" s="1" t="s">
        <v>54</v>
      </c>
      <c r="AQ116" s="2">
        <v>43396</v>
      </c>
      <c r="AR116" s="3">
        <v>0.41666666666666669</v>
      </c>
      <c r="AS116" s="1">
        <v>2.5</v>
      </c>
      <c r="AT116" s="1" t="s">
        <v>54</v>
      </c>
      <c r="AU116" s="1" t="s">
        <v>54</v>
      </c>
      <c r="AV116" s="1">
        <v>36.057763000000001</v>
      </c>
      <c r="AW116" s="1">
        <v>78.765153999999995</v>
      </c>
    </row>
    <row r="117" spans="1:49" s="16" customFormat="1" ht="14.1" customHeight="1" x14ac:dyDescent="0.2">
      <c r="A117" s="16" t="s">
        <v>122</v>
      </c>
      <c r="B117" s="16">
        <v>1461556.41889928</v>
      </c>
      <c r="C117" s="16">
        <v>-330515.08316079603</v>
      </c>
      <c r="D117" s="16" t="s">
        <v>106</v>
      </c>
      <c r="E117" s="16">
        <v>646115.10381286498</v>
      </c>
      <c r="F117" s="16" t="s">
        <v>106</v>
      </c>
      <c r="G117" s="16" t="s">
        <v>52</v>
      </c>
      <c r="H117" s="16" t="s">
        <v>53</v>
      </c>
      <c r="I117" s="16" t="s">
        <v>54</v>
      </c>
      <c r="J117" s="16">
        <v>9.0500000000000007</v>
      </c>
      <c r="K117" s="16">
        <v>33.96</v>
      </c>
      <c r="L117" s="16" t="s">
        <v>55</v>
      </c>
      <c r="M117" s="17">
        <v>43395</v>
      </c>
      <c r="N117" s="18">
        <v>0.43541666666666662</v>
      </c>
      <c r="O117" s="19">
        <v>0.42486111111111113</v>
      </c>
      <c r="P117" s="17">
        <v>43396</v>
      </c>
      <c r="Q117" s="16">
        <v>40</v>
      </c>
      <c r="R117" s="16" t="s">
        <v>56</v>
      </c>
      <c r="S117" s="16">
        <v>2</v>
      </c>
      <c r="T117" s="16">
        <v>0.1</v>
      </c>
      <c r="U117" s="16">
        <v>16.7</v>
      </c>
      <c r="V117" s="16">
        <v>100.9</v>
      </c>
      <c r="W117" s="16">
        <v>9.89</v>
      </c>
      <c r="X117" s="16">
        <v>8.4000000000000005E-2</v>
      </c>
      <c r="Y117" s="16">
        <v>7.41</v>
      </c>
      <c r="Z117" s="16" t="s">
        <v>54</v>
      </c>
      <c r="AA117" s="16">
        <v>17</v>
      </c>
      <c r="AB117" s="16">
        <v>21</v>
      </c>
      <c r="AC117" s="16" t="s">
        <v>54</v>
      </c>
      <c r="AD117" s="16" t="s">
        <v>54</v>
      </c>
      <c r="AE117" s="16" t="s">
        <v>54</v>
      </c>
      <c r="AF117" s="16" t="s">
        <v>54</v>
      </c>
      <c r="AG117" s="16" t="s">
        <v>54</v>
      </c>
      <c r="AH117" s="16" t="s">
        <v>54</v>
      </c>
      <c r="AI117" s="16" t="s">
        <v>54</v>
      </c>
      <c r="AJ117" s="16" t="s">
        <v>54</v>
      </c>
      <c r="AK117" s="16" t="s">
        <v>54</v>
      </c>
      <c r="AL117" s="16" t="s">
        <v>54</v>
      </c>
      <c r="AM117" s="16" t="s">
        <v>54</v>
      </c>
      <c r="AN117" s="16" t="s">
        <v>54</v>
      </c>
      <c r="AO117" s="16" t="s">
        <v>54</v>
      </c>
      <c r="AP117" s="16" t="s">
        <v>54</v>
      </c>
      <c r="AQ117" s="17">
        <v>43396</v>
      </c>
      <c r="AR117" s="18">
        <v>0.41666666666666669</v>
      </c>
      <c r="AS117" s="16">
        <v>2.5</v>
      </c>
      <c r="AT117" s="16" t="s">
        <v>54</v>
      </c>
      <c r="AU117" s="16" t="s">
        <v>54</v>
      </c>
      <c r="AV117" s="16">
        <v>36.057763000000001</v>
      </c>
      <c r="AW117" s="16">
        <v>78.765153999999995</v>
      </c>
    </row>
    <row r="118" spans="1:49" s="16" customFormat="1" ht="14.1" customHeight="1" x14ac:dyDescent="0.2">
      <c r="A118" s="1" t="s">
        <v>123</v>
      </c>
      <c r="B118" s="1">
        <v>1461966.0872102999</v>
      </c>
      <c r="C118" s="1">
        <v>-331004.33148379897</v>
      </c>
      <c r="D118" s="1" t="s">
        <v>106</v>
      </c>
      <c r="E118" s="1">
        <v>646115.10381286498</v>
      </c>
      <c r="F118" s="1" t="s">
        <v>106</v>
      </c>
      <c r="G118" s="11" t="s">
        <v>164</v>
      </c>
      <c r="H118" s="1" t="s">
        <v>53</v>
      </c>
      <c r="I118" s="1" t="s">
        <v>54</v>
      </c>
      <c r="J118" s="1">
        <v>9.0500000000000007</v>
      </c>
      <c r="K118" s="1">
        <v>33.96</v>
      </c>
      <c r="L118" s="1" t="s">
        <v>55</v>
      </c>
      <c r="M118" s="2">
        <v>43395</v>
      </c>
      <c r="N118" s="3">
        <v>0.44097222222222227</v>
      </c>
      <c r="O118" s="4">
        <v>0.43025462962962963</v>
      </c>
      <c r="P118" s="2">
        <v>43396</v>
      </c>
      <c r="Q118" s="1">
        <v>40</v>
      </c>
      <c r="R118" s="1" t="s">
        <v>56</v>
      </c>
      <c r="S118" s="1">
        <v>2.4</v>
      </c>
      <c r="T118" s="1">
        <v>0.1</v>
      </c>
      <c r="U118" s="1">
        <v>16.5</v>
      </c>
      <c r="V118" s="1">
        <v>105.4</v>
      </c>
      <c r="W118" s="1">
        <v>10.3</v>
      </c>
      <c r="X118" s="1">
        <v>8.1000000000000003E-2</v>
      </c>
      <c r="Y118" s="1">
        <v>7.38</v>
      </c>
      <c r="Z118" s="1" t="s">
        <v>54</v>
      </c>
      <c r="AA118" s="1">
        <v>15.7</v>
      </c>
      <c r="AB118" s="1">
        <v>24</v>
      </c>
      <c r="AC118" s="1" t="s">
        <v>54</v>
      </c>
      <c r="AD118" s="1" t="s">
        <v>54</v>
      </c>
      <c r="AE118" s="1" t="s">
        <v>54</v>
      </c>
      <c r="AF118" s="1" t="s">
        <v>54</v>
      </c>
      <c r="AG118" s="1" t="s">
        <v>54</v>
      </c>
      <c r="AH118" s="1" t="s">
        <v>54</v>
      </c>
      <c r="AI118" s="1" t="s">
        <v>54</v>
      </c>
      <c r="AJ118" s="1" t="s">
        <v>54</v>
      </c>
      <c r="AK118" s="1" t="s">
        <v>54</v>
      </c>
      <c r="AL118" s="1" t="s">
        <v>54</v>
      </c>
      <c r="AM118" s="1" t="s">
        <v>54</v>
      </c>
      <c r="AN118" s="1" t="s">
        <v>54</v>
      </c>
      <c r="AO118" s="1" t="s">
        <v>54</v>
      </c>
      <c r="AP118" s="1" t="s">
        <v>54</v>
      </c>
      <c r="AQ118" s="2">
        <v>43396</v>
      </c>
      <c r="AR118" s="3">
        <v>0.4236111111111111</v>
      </c>
      <c r="AS118" s="1">
        <v>2</v>
      </c>
      <c r="AT118" s="1" t="s">
        <v>54</v>
      </c>
      <c r="AU118" s="1" t="s">
        <v>54</v>
      </c>
      <c r="AV118" s="1">
        <v>36.053049999999999</v>
      </c>
      <c r="AW118" s="12">
        <v>78.761596999999995</v>
      </c>
    </row>
    <row r="119" spans="1:49" s="16" customFormat="1" ht="14.1" customHeight="1" x14ac:dyDescent="0.2">
      <c r="A119" s="16" t="s">
        <v>123</v>
      </c>
      <c r="B119" s="16">
        <v>1461966.0872102999</v>
      </c>
      <c r="C119" s="16">
        <v>-331004.33148379897</v>
      </c>
      <c r="D119" s="16" t="s">
        <v>106</v>
      </c>
      <c r="E119" s="16">
        <v>646115.10381286498</v>
      </c>
      <c r="F119" s="16" t="s">
        <v>106</v>
      </c>
      <c r="G119" s="16" t="s">
        <v>174</v>
      </c>
      <c r="H119" s="16" t="s">
        <v>53</v>
      </c>
      <c r="I119" s="16" t="s">
        <v>54</v>
      </c>
      <c r="J119" s="16">
        <v>9.0500000000000007</v>
      </c>
      <c r="K119" s="16">
        <v>33.96</v>
      </c>
      <c r="L119" s="16" t="s">
        <v>55</v>
      </c>
      <c r="M119" s="17">
        <v>43395</v>
      </c>
      <c r="N119" s="18">
        <v>0.44097222222222227</v>
      </c>
      <c r="O119" s="19">
        <v>0.43025462962962963</v>
      </c>
      <c r="P119" s="17">
        <v>43396</v>
      </c>
      <c r="Q119" s="16">
        <v>40</v>
      </c>
      <c r="R119" s="16" t="s">
        <v>56</v>
      </c>
      <c r="S119" s="16">
        <v>2.4</v>
      </c>
      <c r="T119" s="16">
        <v>0.1</v>
      </c>
      <c r="U119" s="16">
        <v>16.5</v>
      </c>
      <c r="V119" s="16">
        <v>105.4</v>
      </c>
      <c r="W119" s="16">
        <v>10.3</v>
      </c>
      <c r="X119" s="16">
        <v>8.1000000000000003E-2</v>
      </c>
      <c r="Y119" s="16">
        <v>7.38</v>
      </c>
      <c r="Z119" s="16" t="s">
        <v>54</v>
      </c>
      <c r="AA119" s="16">
        <v>15.7</v>
      </c>
      <c r="AB119" s="16">
        <v>24</v>
      </c>
      <c r="AC119" s="16" t="s">
        <v>54</v>
      </c>
      <c r="AD119" s="16" t="s">
        <v>54</v>
      </c>
      <c r="AE119" s="16" t="s">
        <v>54</v>
      </c>
      <c r="AF119" s="16" t="s">
        <v>54</v>
      </c>
      <c r="AG119" s="16" t="s">
        <v>54</v>
      </c>
      <c r="AH119" s="16" t="s">
        <v>54</v>
      </c>
      <c r="AI119" s="16" t="s">
        <v>54</v>
      </c>
      <c r="AJ119" s="16" t="s">
        <v>54</v>
      </c>
      <c r="AK119" s="16" t="s">
        <v>54</v>
      </c>
      <c r="AL119" s="16" t="s">
        <v>54</v>
      </c>
      <c r="AM119" s="16" t="s">
        <v>54</v>
      </c>
      <c r="AN119" s="16" t="s">
        <v>54</v>
      </c>
      <c r="AO119" s="16" t="s">
        <v>54</v>
      </c>
      <c r="AP119" s="16" t="s">
        <v>54</v>
      </c>
      <c r="AQ119" s="17">
        <v>43396</v>
      </c>
      <c r="AR119" s="18">
        <v>0.4236111111111111</v>
      </c>
      <c r="AS119" s="16">
        <v>2</v>
      </c>
      <c r="AT119" s="16" t="s">
        <v>54</v>
      </c>
      <c r="AU119" s="16" t="s">
        <v>54</v>
      </c>
      <c r="AV119" s="16">
        <v>36.053049999999999</v>
      </c>
      <c r="AW119" s="16">
        <v>78.761596999999995</v>
      </c>
    </row>
    <row r="120" spans="1:49" s="16" customFormat="1" ht="14.1" customHeight="1" x14ac:dyDescent="0.2">
      <c r="A120" s="1" t="s">
        <v>124</v>
      </c>
      <c r="B120" s="1">
        <v>1461153.3383941799</v>
      </c>
      <c r="C120" s="1">
        <v>-328803.36032379</v>
      </c>
      <c r="D120" s="1" t="s">
        <v>106</v>
      </c>
      <c r="E120" s="1">
        <v>646115.10381286498</v>
      </c>
      <c r="F120" s="1" t="s">
        <v>106</v>
      </c>
      <c r="G120" s="11" t="s">
        <v>164</v>
      </c>
      <c r="H120" s="1" t="s">
        <v>53</v>
      </c>
      <c r="I120" s="1" t="s">
        <v>54</v>
      </c>
      <c r="J120" s="1">
        <v>9.0500000000000007</v>
      </c>
      <c r="K120" s="1">
        <v>33.96</v>
      </c>
      <c r="L120" s="1" t="s">
        <v>55</v>
      </c>
      <c r="M120" s="2">
        <v>43395</v>
      </c>
      <c r="N120" s="3">
        <v>0.41736111111111113</v>
      </c>
      <c r="O120" s="3">
        <v>0.40416666666666662</v>
      </c>
      <c r="P120" s="2">
        <v>43396</v>
      </c>
      <c r="Q120" s="1">
        <v>40</v>
      </c>
      <c r="R120" s="1" t="s">
        <v>56</v>
      </c>
      <c r="S120" s="1">
        <v>2.5</v>
      </c>
      <c r="T120" s="1">
        <v>0.1</v>
      </c>
      <c r="U120" s="1">
        <v>16.899999999999999</v>
      </c>
      <c r="V120" s="1">
        <v>99.1</v>
      </c>
      <c r="W120" s="1">
        <v>9.6199999999999992</v>
      </c>
      <c r="X120" s="1">
        <v>8.3000000000000004E-2</v>
      </c>
      <c r="Y120" s="1">
        <v>7.31</v>
      </c>
      <c r="Z120" s="1" t="s">
        <v>54</v>
      </c>
      <c r="AA120" s="1">
        <v>15</v>
      </c>
      <c r="AB120" s="1">
        <v>27</v>
      </c>
      <c r="AC120" s="1" t="s">
        <v>54</v>
      </c>
      <c r="AD120" s="1" t="s">
        <v>54</v>
      </c>
      <c r="AE120" s="1" t="s">
        <v>54</v>
      </c>
      <c r="AF120" s="1" t="s">
        <v>54</v>
      </c>
      <c r="AG120" s="1" t="s">
        <v>54</v>
      </c>
      <c r="AH120" s="1" t="s">
        <v>54</v>
      </c>
      <c r="AI120" s="1" t="s">
        <v>54</v>
      </c>
      <c r="AJ120" s="1" t="s">
        <v>54</v>
      </c>
      <c r="AK120" s="1" t="s">
        <v>54</v>
      </c>
      <c r="AL120" s="1" t="s">
        <v>54</v>
      </c>
      <c r="AM120" s="1" t="s">
        <v>54</v>
      </c>
      <c r="AN120" s="1" t="s">
        <v>54</v>
      </c>
      <c r="AO120" s="1" t="s">
        <v>54</v>
      </c>
      <c r="AP120" s="1" t="s">
        <v>54</v>
      </c>
      <c r="AQ120" s="2">
        <v>43396</v>
      </c>
      <c r="AR120" s="3">
        <v>0.3923611111111111</v>
      </c>
      <c r="AS120" s="1">
        <f>25+25+25+4</f>
        <v>79</v>
      </c>
      <c r="AT120" s="1" t="s">
        <v>125</v>
      </c>
      <c r="AU120" s="1"/>
      <c r="AV120" s="1">
        <v>36.072772999999998</v>
      </c>
      <c r="AW120" s="11">
        <v>78.766282099999998</v>
      </c>
    </row>
    <row r="121" spans="1:49" s="16" customFormat="1" ht="14.1" customHeight="1" x14ac:dyDescent="0.2">
      <c r="A121" s="16" t="s">
        <v>124</v>
      </c>
      <c r="B121" s="16">
        <v>1461153.3383941799</v>
      </c>
      <c r="C121" s="16">
        <v>-328803.36032379</v>
      </c>
      <c r="D121" s="16" t="s">
        <v>106</v>
      </c>
      <c r="E121" s="16">
        <v>646115.10381286498</v>
      </c>
      <c r="F121" s="16" t="s">
        <v>106</v>
      </c>
      <c r="G121" s="16" t="s">
        <v>174</v>
      </c>
      <c r="H121" s="16" t="s">
        <v>53</v>
      </c>
      <c r="I121" s="16" t="s">
        <v>54</v>
      </c>
      <c r="J121" s="16">
        <v>9.0500000000000007</v>
      </c>
      <c r="K121" s="16">
        <v>33.96</v>
      </c>
      <c r="L121" s="16" t="s">
        <v>55</v>
      </c>
      <c r="M121" s="17">
        <v>43395</v>
      </c>
      <c r="N121" s="18">
        <v>0.41736111111111113</v>
      </c>
      <c r="O121" s="18">
        <v>0.40416666666666662</v>
      </c>
      <c r="P121" s="17">
        <v>43396</v>
      </c>
      <c r="Q121" s="16">
        <v>40</v>
      </c>
      <c r="R121" s="16" t="s">
        <v>56</v>
      </c>
      <c r="S121" s="16">
        <v>2.5</v>
      </c>
      <c r="T121" s="16">
        <v>0.1</v>
      </c>
      <c r="U121" s="16">
        <v>16.899999999999999</v>
      </c>
      <c r="V121" s="16">
        <v>99.1</v>
      </c>
      <c r="W121" s="16">
        <v>9.6199999999999992</v>
      </c>
      <c r="X121" s="16">
        <v>8.3000000000000004E-2</v>
      </c>
      <c r="Y121" s="16">
        <v>7.31</v>
      </c>
      <c r="Z121" s="16" t="s">
        <v>54</v>
      </c>
      <c r="AA121" s="16">
        <v>15</v>
      </c>
      <c r="AB121" s="16">
        <v>27</v>
      </c>
      <c r="AC121" s="16" t="s">
        <v>54</v>
      </c>
      <c r="AD121" s="16" t="s">
        <v>54</v>
      </c>
      <c r="AE121" s="16" t="s">
        <v>54</v>
      </c>
      <c r="AF121" s="16" t="s">
        <v>54</v>
      </c>
      <c r="AG121" s="16" t="s">
        <v>54</v>
      </c>
      <c r="AH121" s="16" t="s">
        <v>54</v>
      </c>
      <c r="AI121" s="16" t="s">
        <v>54</v>
      </c>
      <c r="AJ121" s="16" t="s">
        <v>54</v>
      </c>
      <c r="AK121" s="16" t="s">
        <v>54</v>
      </c>
      <c r="AL121" s="16" t="s">
        <v>54</v>
      </c>
      <c r="AM121" s="16" t="s">
        <v>54</v>
      </c>
      <c r="AN121" s="16" t="s">
        <v>54</v>
      </c>
      <c r="AO121" s="16" t="s">
        <v>54</v>
      </c>
      <c r="AP121" s="16" t="s">
        <v>54</v>
      </c>
      <c r="AQ121" s="17">
        <v>43396</v>
      </c>
      <c r="AR121" s="18">
        <v>0.3923611111111111</v>
      </c>
      <c r="AS121" s="16">
        <f>25+25+25+4</f>
        <v>79</v>
      </c>
      <c r="AT121" s="16" t="s">
        <v>125</v>
      </c>
      <c r="AV121" s="16">
        <v>36.072772999999998</v>
      </c>
      <c r="AW121" s="16">
        <v>78.766282099999998</v>
      </c>
    </row>
    <row r="122" spans="1:49" s="16" customFormat="1" ht="14.1" customHeight="1" x14ac:dyDescent="0.2">
      <c r="A122" s="1" t="s">
        <v>126</v>
      </c>
      <c r="B122" s="1">
        <v>1462816.7064625199</v>
      </c>
      <c r="C122" s="1">
        <v>-331412.97293045599</v>
      </c>
      <c r="D122" s="1" t="s">
        <v>106</v>
      </c>
      <c r="E122" s="1">
        <v>646115.10381286498</v>
      </c>
      <c r="F122" s="1" t="s">
        <v>106</v>
      </c>
      <c r="G122" s="11" t="s">
        <v>164</v>
      </c>
      <c r="H122" s="1" t="s">
        <v>53</v>
      </c>
      <c r="I122" s="1" t="s">
        <v>54</v>
      </c>
      <c r="J122" s="1">
        <v>9.0500000000000007</v>
      </c>
      <c r="K122" s="1">
        <v>33.96</v>
      </c>
      <c r="L122" s="1" t="s">
        <v>55</v>
      </c>
      <c r="M122" s="2">
        <v>43395</v>
      </c>
      <c r="N122" s="3">
        <v>0.45833333333333331</v>
      </c>
      <c r="O122" s="4">
        <v>0.44869212962962962</v>
      </c>
      <c r="P122" s="2">
        <v>43396</v>
      </c>
      <c r="Q122" s="1">
        <v>40</v>
      </c>
      <c r="R122" s="1" t="s">
        <v>56</v>
      </c>
      <c r="S122" s="1">
        <v>2.2999999999999998</v>
      </c>
      <c r="T122" s="1">
        <v>0.1</v>
      </c>
      <c r="U122" s="1">
        <v>17.899999999999999</v>
      </c>
      <c r="V122" s="1">
        <v>108.5</v>
      </c>
      <c r="W122" s="1">
        <v>10.3</v>
      </c>
      <c r="X122" s="1">
        <v>8.2000000000000003E-2</v>
      </c>
      <c r="Y122" s="1">
        <v>7.42</v>
      </c>
      <c r="Z122" s="1" t="s">
        <v>54</v>
      </c>
      <c r="AA122" s="1">
        <v>10.3</v>
      </c>
      <c r="AB122" s="1">
        <v>16.7</v>
      </c>
      <c r="AC122" s="1" t="s">
        <v>54</v>
      </c>
      <c r="AD122" s="1" t="s">
        <v>54</v>
      </c>
      <c r="AE122" s="1" t="s">
        <v>54</v>
      </c>
      <c r="AF122" s="1" t="s">
        <v>54</v>
      </c>
      <c r="AG122" s="1" t="s">
        <v>54</v>
      </c>
      <c r="AH122" s="1" t="s">
        <v>54</v>
      </c>
      <c r="AI122" s="1" t="s">
        <v>54</v>
      </c>
      <c r="AJ122" s="1" t="s">
        <v>54</v>
      </c>
      <c r="AK122" s="1" t="s">
        <v>54</v>
      </c>
      <c r="AL122" s="1" t="s">
        <v>54</v>
      </c>
      <c r="AM122" s="1" t="s">
        <v>54</v>
      </c>
      <c r="AN122" s="1" t="s">
        <v>54</v>
      </c>
      <c r="AO122" s="1" t="s">
        <v>54</v>
      </c>
      <c r="AP122" s="1" t="s">
        <v>54</v>
      </c>
      <c r="AQ122" s="2">
        <v>43396</v>
      </c>
      <c r="AR122" s="3">
        <v>0.44236111111111115</v>
      </c>
      <c r="AS122" s="1">
        <v>5</v>
      </c>
      <c r="AT122" s="1" t="s">
        <v>54</v>
      </c>
      <c r="AU122" s="1" t="s">
        <v>54</v>
      </c>
      <c r="AV122" s="1">
        <v>36.048437999999997</v>
      </c>
      <c r="AW122" s="1">
        <v>78.752465999999998</v>
      </c>
    </row>
    <row r="123" spans="1:49" s="16" customFormat="1" ht="14.1" customHeight="1" x14ac:dyDescent="0.2">
      <c r="A123" s="16" t="s">
        <v>126</v>
      </c>
      <c r="B123" s="16">
        <v>1462816.7064625199</v>
      </c>
      <c r="C123" s="16">
        <v>-331412.97293045599</v>
      </c>
      <c r="D123" s="16" t="s">
        <v>106</v>
      </c>
      <c r="E123" s="16">
        <v>646115.10381286498</v>
      </c>
      <c r="F123" s="16" t="s">
        <v>106</v>
      </c>
      <c r="G123" s="16" t="s">
        <v>174</v>
      </c>
      <c r="H123" s="16" t="s">
        <v>53</v>
      </c>
      <c r="I123" s="16" t="s">
        <v>54</v>
      </c>
      <c r="J123" s="16">
        <v>9.0500000000000007</v>
      </c>
      <c r="K123" s="16">
        <v>33.96</v>
      </c>
      <c r="L123" s="16" t="s">
        <v>55</v>
      </c>
      <c r="M123" s="17">
        <v>43395</v>
      </c>
      <c r="N123" s="18">
        <v>0.45833333333333331</v>
      </c>
      <c r="O123" s="19">
        <v>0.44869212962962962</v>
      </c>
      <c r="P123" s="17">
        <v>43396</v>
      </c>
      <c r="Q123" s="16">
        <v>40</v>
      </c>
      <c r="R123" s="16" t="s">
        <v>56</v>
      </c>
      <c r="S123" s="16">
        <v>2.2999999999999998</v>
      </c>
      <c r="T123" s="16">
        <v>0.1</v>
      </c>
      <c r="U123" s="16">
        <v>17.899999999999999</v>
      </c>
      <c r="V123" s="16">
        <v>108.5</v>
      </c>
      <c r="W123" s="16">
        <v>10.3</v>
      </c>
      <c r="X123" s="16">
        <v>8.2000000000000003E-2</v>
      </c>
      <c r="Y123" s="16">
        <v>7.42</v>
      </c>
      <c r="Z123" s="16" t="s">
        <v>54</v>
      </c>
      <c r="AA123" s="16">
        <v>10.3</v>
      </c>
      <c r="AB123" s="16">
        <v>16.7</v>
      </c>
      <c r="AC123" s="16" t="s">
        <v>54</v>
      </c>
      <c r="AD123" s="16" t="s">
        <v>54</v>
      </c>
      <c r="AE123" s="16" t="s">
        <v>54</v>
      </c>
      <c r="AF123" s="16" t="s">
        <v>54</v>
      </c>
      <c r="AG123" s="16" t="s">
        <v>54</v>
      </c>
      <c r="AH123" s="16" t="s">
        <v>54</v>
      </c>
      <c r="AI123" s="16" t="s">
        <v>54</v>
      </c>
      <c r="AJ123" s="16" t="s">
        <v>54</v>
      </c>
      <c r="AK123" s="16" t="s">
        <v>54</v>
      </c>
      <c r="AL123" s="16" t="s">
        <v>54</v>
      </c>
      <c r="AM123" s="16" t="s">
        <v>54</v>
      </c>
      <c r="AN123" s="16" t="s">
        <v>54</v>
      </c>
      <c r="AO123" s="16" t="s">
        <v>54</v>
      </c>
      <c r="AP123" s="16" t="s">
        <v>54</v>
      </c>
      <c r="AQ123" s="17">
        <v>43396</v>
      </c>
      <c r="AR123" s="18">
        <v>0.44236111111111115</v>
      </c>
      <c r="AS123" s="16">
        <v>5</v>
      </c>
      <c r="AT123" s="16" t="s">
        <v>54</v>
      </c>
      <c r="AU123" s="16" t="s">
        <v>54</v>
      </c>
      <c r="AV123" s="16">
        <v>36.048437999999997</v>
      </c>
      <c r="AW123" s="16">
        <v>78.752465999999998</v>
      </c>
    </row>
    <row r="124" spans="1:49" s="16" customFormat="1" ht="14.1" customHeight="1" x14ac:dyDescent="0.2">
      <c r="A124" t="s">
        <v>127</v>
      </c>
      <c r="B124">
        <v>1460422.9056593799</v>
      </c>
      <c r="C124">
        <v>-329450.85536671802</v>
      </c>
      <c r="D124" t="s">
        <v>106</v>
      </c>
      <c r="E124">
        <v>646115.10381286498</v>
      </c>
      <c r="F124" t="s">
        <v>106</v>
      </c>
      <c r="G124" s="11" t="s">
        <v>164</v>
      </c>
      <c r="H124" s="11" t="s">
        <v>163</v>
      </c>
      <c r="I124" t="s">
        <v>54</v>
      </c>
      <c r="J124">
        <v>9.0500000000000007</v>
      </c>
      <c r="K124">
        <v>33.96</v>
      </c>
      <c r="L124" t="s">
        <v>55</v>
      </c>
      <c r="M124" s="5"/>
      <c r="N124" s="6"/>
      <c r="O124" s="6"/>
      <c r="P124" s="6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 s="5"/>
      <c r="AR124" s="6"/>
      <c r="AS124"/>
      <c r="AT124"/>
      <c r="AU124"/>
      <c r="AV124"/>
      <c r="AW124"/>
    </row>
    <row r="125" spans="1:49" s="16" customFormat="1" ht="14.1" customHeight="1" x14ac:dyDescent="0.2">
      <c r="A125" s="16" t="s">
        <v>127</v>
      </c>
      <c r="B125" s="16">
        <v>1460422.9056593799</v>
      </c>
      <c r="C125" s="16">
        <v>-329450.85536671802</v>
      </c>
      <c r="D125" s="16" t="s">
        <v>106</v>
      </c>
      <c r="E125" s="16">
        <v>646115.10381286498</v>
      </c>
      <c r="F125" s="16" t="s">
        <v>106</v>
      </c>
      <c r="G125" s="16" t="s">
        <v>174</v>
      </c>
      <c r="H125" s="16" t="s">
        <v>53</v>
      </c>
      <c r="I125" s="16" t="s">
        <v>54</v>
      </c>
      <c r="J125" s="16">
        <v>9.0500000000000007</v>
      </c>
      <c r="K125" s="16">
        <v>33.96</v>
      </c>
      <c r="L125" s="16" t="s">
        <v>55</v>
      </c>
      <c r="M125" s="17"/>
      <c r="N125" s="18"/>
      <c r="O125" s="18"/>
      <c r="P125" s="18"/>
      <c r="AQ125" s="17"/>
      <c r="AR125" s="18"/>
    </row>
    <row r="126" spans="1:49" s="16" customFormat="1" ht="14.1" customHeight="1" x14ac:dyDescent="0.2">
      <c r="A126" t="s">
        <v>128</v>
      </c>
      <c r="B126">
        <v>1461126.29935535</v>
      </c>
      <c r="C126">
        <v>-330087.50289372698</v>
      </c>
      <c r="D126" t="s">
        <v>106</v>
      </c>
      <c r="E126">
        <v>646115.10381286498</v>
      </c>
      <c r="F126" t="s">
        <v>106</v>
      </c>
      <c r="G126" s="11" t="s">
        <v>164</v>
      </c>
      <c r="H126" s="11" t="s">
        <v>163</v>
      </c>
      <c r="I126" t="s">
        <v>54</v>
      </c>
      <c r="J126">
        <v>9.0500000000000007</v>
      </c>
      <c r="K126">
        <v>33.96</v>
      </c>
      <c r="L126" t="s">
        <v>55</v>
      </c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</row>
    <row r="127" spans="1:49" s="16" customFormat="1" ht="14.1" customHeight="1" x14ac:dyDescent="0.2">
      <c r="A127" s="16" t="s">
        <v>128</v>
      </c>
      <c r="B127" s="16">
        <v>1461126.29935535</v>
      </c>
      <c r="C127" s="16">
        <v>-330087.50289372698</v>
      </c>
      <c r="D127" s="16" t="s">
        <v>106</v>
      </c>
      <c r="E127" s="16">
        <v>646115.10381286498</v>
      </c>
      <c r="F127" s="16" t="s">
        <v>106</v>
      </c>
      <c r="G127" s="16" t="s">
        <v>174</v>
      </c>
      <c r="H127" s="16" t="s">
        <v>170</v>
      </c>
      <c r="I127" s="16" t="s">
        <v>54</v>
      </c>
      <c r="J127" s="16">
        <v>9.0500000000000007</v>
      </c>
      <c r="K127" s="16">
        <v>33.96</v>
      </c>
      <c r="L127" s="16" t="s">
        <v>55</v>
      </c>
    </row>
    <row r="128" spans="1:49" s="16" customFormat="1" ht="14.1" customHeight="1" x14ac:dyDescent="0.2">
      <c r="A128" t="s">
        <v>129</v>
      </c>
      <c r="B128">
        <v>1459428.88748133</v>
      </c>
      <c r="C128">
        <v>-328451.93498989398</v>
      </c>
      <c r="D128" t="s">
        <v>106</v>
      </c>
      <c r="E128">
        <v>646115.10381286498</v>
      </c>
      <c r="F128" t="s">
        <v>106</v>
      </c>
      <c r="G128" s="11" t="s">
        <v>164</v>
      </c>
      <c r="H128" s="11" t="s">
        <v>163</v>
      </c>
      <c r="I128" t="s">
        <v>54</v>
      </c>
      <c r="J128">
        <v>9.0500000000000007</v>
      </c>
      <c r="K128">
        <v>33.96</v>
      </c>
      <c r="L128" t="s">
        <v>55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</row>
    <row r="129" spans="1:49" s="16" customFormat="1" ht="14.1" customHeight="1" x14ac:dyDescent="0.2">
      <c r="A129" s="16" t="s">
        <v>129</v>
      </c>
      <c r="B129" s="16">
        <v>1459428.88748133</v>
      </c>
      <c r="C129" s="16">
        <v>-328451.93498989398</v>
      </c>
      <c r="D129" s="16" t="s">
        <v>106</v>
      </c>
      <c r="E129" s="16">
        <v>646115.10381286498</v>
      </c>
      <c r="F129" s="16" t="s">
        <v>106</v>
      </c>
      <c r="G129" s="16" t="s">
        <v>174</v>
      </c>
      <c r="H129" s="16" t="s">
        <v>170</v>
      </c>
      <c r="I129" s="16" t="s">
        <v>54</v>
      </c>
      <c r="J129" s="16">
        <v>9.0500000000000007</v>
      </c>
      <c r="K129" s="16">
        <v>33.96</v>
      </c>
      <c r="L129" s="16" t="s">
        <v>55</v>
      </c>
    </row>
    <row r="130" spans="1:49" s="16" customFormat="1" ht="14.1" customHeight="1" x14ac:dyDescent="0.2">
      <c r="A130" t="s">
        <v>130</v>
      </c>
      <c r="B130">
        <v>1462124.2586956799</v>
      </c>
      <c r="C130">
        <v>-330939.56871706399</v>
      </c>
      <c r="D130" t="s">
        <v>106</v>
      </c>
      <c r="E130">
        <v>646115.10381286498</v>
      </c>
      <c r="F130" t="s">
        <v>106</v>
      </c>
      <c r="G130" s="11" t="s">
        <v>164</v>
      </c>
      <c r="H130" s="11" t="s">
        <v>163</v>
      </c>
      <c r="I130" t="s">
        <v>54</v>
      </c>
      <c r="J130">
        <v>9.0500000000000007</v>
      </c>
      <c r="K130">
        <v>33.96</v>
      </c>
      <c r="L130" t="s">
        <v>55</v>
      </c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</row>
    <row r="131" spans="1:49" s="16" customFormat="1" ht="14.1" customHeight="1" x14ac:dyDescent="0.2">
      <c r="A131" s="16" t="s">
        <v>130</v>
      </c>
      <c r="B131" s="16">
        <v>1462124.2586956799</v>
      </c>
      <c r="C131" s="16">
        <v>-330939.56871706399</v>
      </c>
      <c r="D131" s="16" t="s">
        <v>106</v>
      </c>
      <c r="E131" s="16">
        <v>646115.10381286498</v>
      </c>
      <c r="F131" s="16" t="s">
        <v>106</v>
      </c>
      <c r="G131" s="16" t="s">
        <v>174</v>
      </c>
      <c r="H131" s="16" t="s">
        <v>170</v>
      </c>
      <c r="I131" s="16" t="s">
        <v>54</v>
      </c>
      <c r="J131" s="16">
        <v>9.0500000000000007</v>
      </c>
      <c r="K131" s="16">
        <v>33.96</v>
      </c>
      <c r="L131" s="16" t="s">
        <v>55</v>
      </c>
    </row>
    <row r="132" spans="1:49" s="16" customFormat="1" ht="14.1" customHeight="1" x14ac:dyDescent="0.2">
      <c r="A132" t="s">
        <v>131</v>
      </c>
      <c r="B132">
        <v>1459570.5018283001</v>
      </c>
      <c r="C132">
        <v>-329512.47281771799</v>
      </c>
      <c r="D132" t="s">
        <v>106</v>
      </c>
      <c r="E132">
        <v>646115.10381286498</v>
      </c>
      <c r="F132" t="s">
        <v>106</v>
      </c>
      <c r="G132" s="11" t="s">
        <v>164</v>
      </c>
      <c r="H132" s="11" t="s">
        <v>163</v>
      </c>
      <c r="I132" t="s">
        <v>54</v>
      </c>
      <c r="J132">
        <v>9.0500000000000007</v>
      </c>
      <c r="K132">
        <v>33.96</v>
      </c>
      <c r="L132" t="s">
        <v>55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</row>
    <row r="133" spans="1:49" s="16" customFormat="1" ht="14.1" customHeight="1" x14ac:dyDescent="0.2">
      <c r="A133" s="16" t="s">
        <v>131</v>
      </c>
      <c r="B133" s="16">
        <v>1459570.5018283001</v>
      </c>
      <c r="C133" s="16">
        <v>-329512.47281771799</v>
      </c>
      <c r="D133" s="16" t="s">
        <v>106</v>
      </c>
      <c r="E133" s="16">
        <v>646115.10381286498</v>
      </c>
      <c r="F133" s="16" t="s">
        <v>106</v>
      </c>
      <c r="G133" s="16" t="s">
        <v>174</v>
      </c>
      <c r="H133" s="16" t="s">
        <v>170</v>
      </c>
      <c r="I133" s="16" t="s">
        <v>54</v>
      </c>
      <c r="J133" s="16">
        <v>9.0500000000000007</v>
      </c>
      <c r="K133" s="16">
        <v>33.96</v>
      </c>
      <c r="L133" s="16" t="s">
        <v>55</v>
      </c>
    </row>
    <row r="134" spans="1:49" s="16" customFormat="1" ht="14.1" customHeight="1" x14ac:dyDescent="0.2">
      <c r="A134" t="s">
        <v>132</v>
      </c>
      <c r="B134">
        <v>1461188.31923695</v>
      </c>
      <c r="C134">
        <v>-330777.66559621901</v>
      </c>
      <c r="D134" t="s">
        <v>106</v>
      </c>
      <c r="E134">
        <v>646115.10381286498</v>
      </c>
      <c r="F134" t="s">
        <v>106</v>
      </c>
      <c r="G134" s="11" t="s">
        <v>164</v>
      </c>
      <c r="H134" s="11" t="s">
        <v>163</v>
      </c>
      <c r="I134" t="s">
        <v>54</v>
      </c>
      <c r="J134">
        <v>9.0500000000000007</v>
      </c>
      <c r="K134">
        <v>33.96</v>
      </c>
      <c r="L134" t="s">
        <v>55</v>
      </c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</row>
    <row r="135" spans="1:49" s="16" customFormat="1" ht="14.1" customHeight="1" x14ac:dyDescent="0.2">
      <c r="A135" s="16" t="s">
        <v>132</v>
      </c>
      <c r="B135" s="16">
        <v>1461188.31923695</v>
      </c>
      <c r="C135" s="16">
        <v>-330777.66559621901</v>
      </c>
      <c r="D135" s="16" t="s">
        <v>106</v>
      </c>
      <c r="E135" s="16">
        <v>646115.10381286498</v>
      </c>
      <c r="F135" s="16" t="s">
        <v>106</v>
      </c>
      <c r="G135" s="16" t="s">
        <v>174</v>
      </c>
      <c r="H135" s="16" t="s">
        <v>170</v>
      </c>
      <c r="I135" s="16" t="s">
        <v>54</v>
      </c>
      <c r="J135" s="16">
        <v>9.0500000000000007</v>
      </c>
      <c r="K135" s="16">
        <v>33.96</v>
      </c>
      <c r="L135" s="16" t="s">
        <v>55</v>
      </c>
    </row>
    <row r="136" spans="1:49" s="16" customFormat="1" ht="14.1" customHeight="1" x14ac:dyDescent="0.2">
      <c r="A136" t="s">
        <v>133</v>
      </c>
      <c r="B136">
        <v>1459638.60189808</v>
      </c>
      <c r="C136">
        <v>-328615.22111290798</v>
      </c>
      <c r="D136" t="s">
        <v>106</v>
      </c>
      <c r="E136">
        <v>646115.10381286498</v>
      </c>
      <c r="F136" t="s">
        <v>106</v>
      </c>
      <c r="G136" s="11" t="s">
        <v>164</v>
      </c>
      <c r="H136" s="11" t="s">
        <v>163</v>
      </c>
      <c r="I136" t="s">
        <v>54</v>
      </c>
      <c r="J136">
        <v>9.0500000000000007</v>
      </c>
      <c r="K136">
        <v>33.96</v>
      </c>
      <c r="L136" t="s">
        <v>55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</row>
    <row r="137" spans="1:49" s="16" customFormat="1" ht="14.1" customHeight="1" x14ac:dyDescent="0.2">
      <c r="A137" s="16" t="s">
        <v>133</v>
      </c>
      <c r="B137" s="16">
        <v>1459638.60189808</v>
      </c>
      <c r="C137" s="16">
        <v>-328615.22111290798</v>
      </c>
      <c r="D137" s="16" t="s">
        <v>106</v>
      </c>
      <c r="E137" s="16">
        <v>646115.10381286498</v>
      </c>
      <c r="F137" s="16" t="s">
        <v>106</v>
      </c>
      <c r="G137" s="16" t="s">
        <v>174</v>
      </c>
      <c r="H137" s="16" t="s">
        <v>170</v>
      </c>
      <c r="I137" s="16" t="s">
        <v>54</v>
      </c>
      <c r="J137" s="16">
        <v>9.0500000000000007</v>
      </c>
      <c r="K137" s="16">
        <v>33.96</v>
      </c>
      <c r="L137" s="16" t="s">
        <v>55</v>
      </c>
    </row>
    <row r="138" spans="1:49" s="16" customFormat="1" ht="14.1" customHeight="1" x14ac:dyDescent="0.2">
      <c r="A138" t="s">
        <v>134</v>
      </c>
      <c r="B138">
        <v>1458234.7384929601</v>
      </c>
      <c r="C138">
        <v>-330010.87619965099</v>
      </c>
      <c r="D138" t="s">
        <v>106</v>
      </c>
      <c r="E138">
        <v>646115.10381286498</v>
      </c>
      <c r="F138" t="s">
        <v>106</v>
      </c>
      <c r="G138" s="11" t="s">
        <v>164</v>
      </c>
      <c r="H138" s="11" t="s">
        <v>163</v>
      </c>
      <c r="I138" t="s">
        <v>54</v>
      </c>
      <c r="J138">
        <v>9.0500000000000007</v>
      </c>
      <c r="K138">
        <v>33.96</v>
      </c>
      <c r="L138" t="s">
        <v>55</v>
      </c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</row>
    <row r="139" spans="1:49" s="16" customFormat="1" ht="14.1" customHeight="1" x14ac:dyDescent="0.2">
      <c r="A139" s="16" t="s">
        <v>134</v>
      </c>
      <c r="B139" s="16">
        <v>1458234.7384929601</v>
      </c>
      <c r="C139" s="16">
        <v>-330010.87619965099</v>
      </c>
      <c r="D139" s="16" t="s">
        <v>106</v>
      </c>
      <c r="E139" s="16">
        <v>646115.10381286498</v>
      </c>
      <c r="F139" s="16" t="s">
        <v>106</v>
      </c>
      <c r="G139" s="16" t="s">
        <v>174</v>
      </c>
      <c r="H139" s="16" t="s">
        <v>170</v>
      </c>
      <c r="I139" s="16" t="s">
        <v>54</v>
      </c>
      <c r="J139" s="16">
        <v>9.0500000000000007</v>
      </c>
      <c r="K139" s="16">
        <v>33.96</v>
      </c>
      <c r="L139" s="16" t="s">
        <v>55</v>
      </c>
    </row>
    <row r="140" spans="1:49" s="16" customFormat="1" ht="14.1" customHeight="1" x14ac:dyDescent="0.2">
      <c r="A140" t="s">
        <v>135</v>
      </c>
      <c r="B140">
        <v>1461647.0779347401</v>
      </c>
      <c r="C140">
        <v>-330045.94937050901</v>
      </c>
      <c r="D140" t="s">
        <v>106</v>
      </c>
      <c r="E140">
        <v>646115.10381286498</v>
      </c>
      <c r="F140" t="s">
        <v>106</v>
      </c>
      <c r="G140" s="11" t="s">
        <v>164</v>
      </c>
      <c r="H140" s="11" t="s">
        <v>163</v>
      </c>
      <c r="I140" t="s">
        <v>54</v>
      </c>
      <c r="J140">
        <v>9.0500000000000007</v>
      </c>
      <c r="K140">
        <v>33.96</v>
      </c>
      <c r="L140" t="s">
        <v>55</v>
      </c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</row>
    <row r="141" spans="1:49" s="16" customFormat="1" ht="14.1" customHeight="1" x14ac:dyDescent="0.2">
      <c r="A141" s="16" t="s">
        <v>135</v>
      </c>
      <c r="B141" s="16">
        <v>1461647.0779347401</v>
      </c>
      <c r="C141" s="16">
        <v>-330045.94937050901</v>
      </c>
      <c r="D141" s="16" t="s">
        <v>106</v>
      </c>
      <c r="E141" s="16">
        <v>646115.10381286498</v>
      </c>
      <c r="F141" s="16" t="s">
        <v>106</v>
      </c>
      <c r="G141" s="16" t="s">
        <v>174</v>
      </c>
      <c r="H141" s="16" t="s">
        <v>170</v>
      </c>
      <c r="I141" s="16" t="s">
        <v>54</v>
      </c>
      <c r="J141" s="16">
        <v>9.0500000000000007</v>
      </c>
      <c r="K141" s="16">
        <v>33.96</v>
      </c>
      <c r="L141" s="16" t="s">
        <v>55</v>
      </c>
    </row>
    <row r="142" spans="1:49" s="16" customFormat="1" ht="14.1" customHeight="1" x14ac:dyDescent="0.2">
      <c r="A142" t="s">
        <v>136</v>
      </c>
      <c r="B142">
        <v>1461742.2884984899</v>
      </c>
      <c r="C142">
        <v>-331417.54390126298</v>
      </c>
      <c r="D142" t="s">
        <v>106</v>
      </c>
      <c r="E142">
        <v>646115.10381286498</v>
      </c>
      <c r="F142" t="s">
        <v>106</v>
      </c>
      <c r="G142" s="11" t="s">
        <v>164</v>
      </c>
      <c r="H142" s="11" t="s">
        <v>163</v>
      </c>
      <c r="I142" t="s">
        <v>54</v>
      </c>
      <c r="J142">
        <v>9.0500000000000007</v>
      </c>
      <c r="K142">
        <v>33.96</v>
      </c>
      <c r="L142" t="s">
        <v>55</v>
      </c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</row>
    <row r="143" spans="1:49" s="16" customFormat="1" ht="14.1" customHeight="1" x14ac:dyDescent="0.2">
      <c r="A143" s="16" t="s">
        <v>136</v>
      </c>
      <c r="B143" s="16">
        <v>1461742.2884984899</v>
      </c>
      <c r="C143" s="16">
        <v>-331417.54390126298</v>
      </c>
      <c r="D143" s="16" t="s">
        <v>106</v>
      </c>
      <c r="E143" s="16">
        <v>646115.10381286498</v>
      </c>
      <c r="F143" s="16" t="s">
        <v>106</v>
      </c>
      <c r="G143" s="16" t="s">
        <v>174</v>
      </c>
      <c r="H143" s="16" t="s">
        <v>170</v>
      </c>
      <c r="I143" s="16" t="s">
        <v>54</v>
      </c>
      <c r="J143" s="16">
        <v>9.0500000000000007</v>
      </c>
      <c r="K143" s="16">
        <v>33.96</v>
      </c>
      <c r="L143" s="16" t="s">
        <v>55</v>
      </c>
    </row>
    <row r="144" spans="1:49" s="16" customFormat="1" ht="14.1" customHeight="1" x14ac:dyDescent="0.2">
      <c r="A144" t="s">
        <v>137</v>
      </c>
      <c r="B144">
        <v>1461175.2208317099</v>
      </c>
      <c r="C144">
        <v>-329223.55858806701</v>
      </c>
      <c r="D144" t="s">
        <v>106</v>
      </c>
      <c r="E144">
        <v>646115.10381286498</v>
      </c>
      <c r="F144" t="s">
        <v>106</v>
      </c>
      <c r="G144" s="11" t="s">
        <v>164</v>
      </c>
      <c r="H144" s="11" t="s">
        <v>163</v>
      </c>
      <c r="I144" t="s">
        <v>54</v>
      </c>
      <c r="J144">
        <v>9.0500000000000007</v>
      </c>
      <c r="K144">
        <v>33.96</v>
      </c>
      <c r="L144" t="s">
        <v>55</v>
      </c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</row>
    <row r="145" spans="1:49" s="16" customFormat="1" ht="14.1" customHeight="1" x14ac:dyDescent="0.2">
      <c r="A145" s="16" t="s">
        <v>137</v>
      </c>
      <c r="B145" s="16">
        <v>1461175.2208317099</v>
      </c>
      <c r="C145" s="16">
        <v>-329223.55858806701</v>
      </c>
      <c r="D145" s="16" t="s">
        <v>106</v>
      </c>
      <c r="E145" s="16">
        <v>646115.10381286498</v>
      </c>
      <c r="F145" s="16" t="s">
        <v>106</v>
      </c>
      <c r="G145" s="16" t="s">
        <v>174</v>
      </c>
      <c r="H145" s="16" t="s">
        <v>170</v>
      </c>
      <c r="I145" s="16" t="s">
        <v>54</v>
      </c>
      <c r="J145" s="16">
        <v>9.0500000000000007</v>
      </c>
      <c r="K145" s="16">
        <v>33.96</v>
      </c>
      <c r="L145" s="16" t="s">
        <v>55</v>
      </c>
    </row>
    <row r="146" spans="1:49" s="16" customFormat="1" ht="14.1" customHeight="1" x14ac:dyDescent="0.2">
      <c r="A146" t="s">
        <v>138</v>
      </c>
      <c r="B146">
        <v>1458438.2689139899</v>
      </c>
      <c r="C146">
        <v>-329652.25512148603</v>
      </c>
      <c r="D146" t="s">
        <v>106</v>
      </c>
      <c r="E146">
        <v>646115.10381286498</v>
      </c>
      <c r="F146" t="s">
        <v>106</v>
      </c>
      <c r="G146" s="11" t="s">
        <v>164</v>
      </c>
      <c r="H146" s="11" t="s">
        <v>163</v>
      </c>
      <c r="I146" t="s">
        <v>54</v>
      </c>
      <c r="J146">
        <v>9.0500000000000007</v>
      </c>
      <c r="K146">
        <v>33.96</v>
      </c>
      <c r="L146" t="s">
        <v>55</v>
      </c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</row>
    <row r="147" spans="1:49" s="16" customFormat="1" ht="14.1" customHeight="1" x14ac:dyDescent="0.2">
      <c r="A147" s="16" t="s">
        <v>138</v>
      </c>
      <c r="B147" s="16">
        <v>1458438.2689139899</v>
      </c>
      <c r="C147" s="16">
        <v>-329652.25512148603</v>
      </c>
      <c r="D147" s="16" t="s">
        <v>106</v>
      </c>
      <c r="E147" s="16">
        <v>646115.10381286498</v>
      </c>
      <c r="F147" s="16" t="s">
        <v>106</v>
      </c>
      <c r="G147" s="16" t="s">
        <v>174</v>
      </c>
      <c r="H147" s="16" t="s">
        <v>170</v>
      </c>
      <c r="I147" s="16" t="s">
        <v>54</v>
      </c>
      <c r="J147" s="16">
        <v>9.0500000000000007</v>
      </c>
      <c r="K147" s="16">
        <v>33.96</v>
      </c>
      <c r="L147" s="16" t="s">
        <v>55</v>
      </c>
    </row>
    <row r="148" spans="1:49" s="16" customFormat="1" ht="14.1" customHeight="1" x14ac:dyDescent="0.2">
      <c r="A148" t="s">
        <v>139</v>
      </c>
      <c r="B148">
        <v>1461635.3300456901</v>
      </c>
      <c r="C148">
        <v>-329297.86201026302</v>
      </c>
      <c r="D148" t="s">
        <v>106</v>
      </c>
      <c r="E148">
        <v>646115.10381286498</v>
      </c>
      <c r="F148" t="s">
        <v>106</v>
      </c>
      <c r="G148" s="11" t="s">
        <v>164</v>
      </c>
      <c r="H148" s="11" t="s">
        <v>163</v>
      </c>
      <c r="I148" t="s">
        <v>54</v>
      </c>
      <c r="J148">
        <v>9.0500000000000007</v>
      </c>
      <c r="K148">
        <v>33.96</v>
      </c>
      <c r="L148" t="s">
        <v>55</v>
      </c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</row>
    <row r="149" spans="1:49" s="16" customFormat="1" ht="14.1" customHeight="1" x14ac:dyDescent="0.2">
      <c r="A149" s="16" t="s">
        <v>139</v>
      </c>
      <c r="B149" s="16">
        <v>1461635.3300456901</v>
      </c>
      <c r="C149" s="16">
        <v>-329297.86201026302</v>
      </c>
      <c r="D149" s="16" t="s">
        <v>106</v>
      </c>
      <c r="E149" s="16">
        <v>646115.10381286498</v>
      </c>
      <c r="F149" s="16" t="s">
        <v>106</v>
      </c>
      <c r="G149" s="16" t="s">
        <v>174</v>
      </c>
      <c r="H149" s="16" t="s">
        <v>170</v>
      </c>
      <c r="I149" s="16" t="s">
        <v>54</v>
      </c>
      <c r="J149" s="16">
        <v>9.0500000000000007</v>
      </c>
      <c r="K149" s="16">
        <v>33.96</v>
      </c>
      <c r="L149" s="16" t="s">
        <v>55</v>
      </c>
    </row>
    <row r="150" spans="1:49" s="16" customFormat="1" ht="14.1" customHeight="1" x14ac:dyDescent="0.2">
      <c r="A150" t="s">
        <v>140</v>
      </c>
      <c r="B150">
        <v>1460210.70102928</v>
      </c>
      <c r="C150">
        <v>-329218.62914443202</v>
      </c>
      <c r="D150" t="s">
        <v>106</v>
      </c>
      <c r="E150">
        <v>646115.10381286498</v>
      </c>
      <c r="F150" t="s">
        <v>106</v>
      </c>
      <c r="G150" s="11" t="s">
        <v>164</v>
      </c>
      <c r="H150" s="11" t="s">
        <v>163</v>
      </c>
      <c r="I150" t="s">
        <v>54</v>
      </c>
      <c r="J150">
        <v>9.0500000000000007</v>
      </c>
      <c r="K150">
        <v>33.96</v>
      </c>
      <c r="L150" t="s">
        <v>55</v>
      </c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</row>
    <row r="151" spans="1:49" s="16" customFormat="1" ht="14.1" customHeight="1" x14ac:dyDescent="0.2">
      <c r="A151" s="16" t="s">
        <v>140</v>
      </c>
      <c r="B151" s="16">
        <v>1460210.70102928</v>
      </c>
      <c r="C151" s="16">
        <v>-329218.62914443202</v>
      </c>
      <c r="D151" s="16" t="s">
        <v>106</v>
      </c>
      <c r="E151" s="16">
        <v>646115.10381286498</v>
      </c>
      <c r="F151" s="16" t="s">
        <v>106</v>
      </c>
      <c r="G151" s="16" t="s">
        <v>174</v>
      </c>
      <c r="H151" s="16" t="s">
        <v>170</v>
      </c>
      <c r="I151" s="16" t="s">
        <v>54</v>
      </c>
      <c r="J151" s="16">
        <v>9.0500000000000007</v>
      </c>
      <c r="K151" s="16">
        <v>33.96</v>
      </c>
      <c r="L151" s="16" t="s">
        <v>55</v>
      </c>
    </row>
    <row r="152" spans="1:49" s="16" customFormat="1" ht="14.1" customHeight="1" x14ac:dyDescent="0.2">
      <c r="A152" t="s">
        <v>141</v>
      </c>
      <c r="B152">
        <v>1461503.04050983</v>
      </c>
      <c r="C152">
        <v>-328794.60014871502</v>
      </c>
      <c r="D152" t="s">
        <v>106</v>
      </c>
      <c r="E152">
        <v>646115.10381286498</v>
      </c>
      <c r="F152" t="s">
        <v>106</v>
      </c>
      <c r="G152" s="11" t="s">
        <v>164</v>
      </c>
      <c r="H152" s="11" t="s">
        <v>163</v>
      </c>
      <c r="I152" t="s">
        <v>54</v>
      </c>
      <c r="J152">
        <v>9.0500000000000007</v>
      </c>
      <c r="K152">
        <v>33.96</v>
      </c>
      <c r="L152" t="s">
        <v>55</v>
      </c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</row>
    <row r="153" spans="1:49" s="16" customFormat="1" ht="14.1" customHeight="1" x14ac:dyDescent="0.2">
      <c r="A153" s="16" t="s">
        <v>141</v>
      </c>
      <c r="B153" s="16">
        <v>1461503.04050983</v>
      </c>
      <c r="C153" s="16">
        <v>-328794.60014871502</v>
      </c>
      <c r="D153" s="16" t="s">
        <v>106</v>
      </c>
      <c r="E153" s="16">
        <v>646115.10381286498</v>
      </c>
      <c r="F153" s="16" t="s">
        <v>106</v>
      </c>
      <c r="G153" s="16" t="s">
        <v>174</v>
      </c>
      <c r="H153" s="16" t="s">
        <v>170</v>
      </c>
      <c r="I153" s="16" t="s">
        <v>54</v>
      </c>
      <c r="J153" s="16">
        <v>9.0500000000000007</v>
      </c>
      <c r="K153" s="16">
        <v>33.96</v>
      </c>
      <c r="L153" s="16" t="s">
        <v>55</v>
      </c>
    </row>
    <row r="154" spans="1:49" s="16" customFormat="1" ht="14.1" customHeight="1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</row>
    <row r="155" spans="1:49" s="16" customFormat="1" ht="14.1" customHeight="1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</row>
    <row r="156" spans="1:49" s="16" customFormat="1" ht="14.1" customHeight="1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</row>
    <row r="157" spans="1:49" s="16" customFormat="1" ht="14.1" customHeight="1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</row>
    <row r="158" spans="1:49" s="16" customFormat="1" ht="14.1" customHeight="1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</row>
    <row r="159" spans="1:49" s="16" customFormat="1" ht="14.1" customHeight="1" x14ac:dyDescent="0.2"/>
  </sheetData>
  <sheetProtection algorithmName="SHA-512" hashValue="YINBptsdivSg0+KtzF+SjFbHJiodOcEXL72jkUS6B+lOqQb1lxcZuNfioFN7sEqaDXGjj7Qt/DusNpMsa0HX/g==" saltValue="67jvv2ZKdMvSCK9rgrr9Kg==" spinCount="100000" sheet="1" objects="1" scenarios="1"/>
  <sortState xmlns:xlrd2="http://schemas.microsoft.com/office/spreadsheetml/2017/richdata2" ref="A9:AW159">
    <sortCondition ref="A60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oct2018</vt:lpstr>
      <vt:lpstr>Orig v 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Balz, Adam</cp:lastModifiedBy>
  <dcterms:created xsi:type="dcterms:W3CDTF">2020-04-02T15:16:56Z</dcterms:created>
  <dcterms:modified xsi:type="dcterms:W3CDTF">2020-04-23T21:09:07Z</dcterms:modified>
</cp:coreProperties>
</file>