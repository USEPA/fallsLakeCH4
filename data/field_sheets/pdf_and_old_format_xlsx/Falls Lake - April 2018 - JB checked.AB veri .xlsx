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5" documentId="13_ncr:1_{1E2CEFC5-9BD7-EA42-A8EE-339B54FCE700}" xr6:coauthVersionLast="44" xr6:coauthVersionMax="45" xr10:uidLastSave="{AF2A598C-C18F-4C80-831F-4134A17E02C1}"/>
  <bookViews>
    <workbookView xWindow="-120" yWindow="-120" windowWidth="20730" windowHeight="11160" xr2:uid="{95A0E974-7625-F142-9917-FFDD4933ACAE}"/>
  </bookViews>
  <sheets>
    <sheet name="apr2018" sheetId="1" r:id="rId1"/>
    <sheet name="Orig v QAQ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21" i="1" l="1"/>
  <c r="F121" i="1"/>
  <c r="E121" i="1"/>
  <c r="D121" i="1"/>
  <c r="C121" i="1"/>
  <c r="B121" i="1"/>
  <c r="U113" i="1"/>
  <c r="G113" i="1"/>
  <c r="F113" i="1"/>
  <c r="E113" i="1"/>
  <c r="D113" i="1"/>
  <c r="C113" i="1"/>
  <c r="B113" i="1"/>
  <c r="I106" i="1"/>
  <c r="U105" i="1"/>
  <c r="J106" i="1"/>
  <c r="H106" i="1"/>
  <c r="G106" i="1"/>
  <c r="F106" i="1"/>
  <c r="E106" i="1"/>
  <c r="D106" i="1"/>
  <c r="C106" i="1"/>
  <c r="B106" i="1"/>
  <c r="T99" i="1"/>
  <c r="U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</calcChain>
</file>

<file path=xl/sharedStrings.xml><?xml version="1.0" encoding="utf-8"?>
<sst xmlns="http://schemas.openxmlformats.org/spreadsheetml/2006/main" count="3527" uniqueCount="205">
  <si>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</si>
  <si>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</si>
  <si>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</si>
  <si>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</si>
  <si>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</si>
  <si>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</si>
  <si>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</si>
  <si>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</si>
  <si>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</si>
  <si>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</si>
  <si>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</si>
  <si>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</si>
  <si>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</si>
  <si>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</si>
  <si>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</si>
  <si>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</si>
  <si>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</si>
  <si>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</si>
  <si>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</si>
  <si>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</si>
  <si>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</si>
  <si>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</si>
  <si>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</si>
  <si>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</si>
  <si>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</si>
  <si>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</si>
  <si>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</si>
  <si>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</si>
  <si>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</si>
  <si>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</si>
  <si>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</si>
  <si>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</si>
  <si>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</si>
  <si>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</si>
  <si>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</si>
  <si>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</si>
  <si>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</si>
  <si>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</si>
  <si>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</si>
  <si>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</si>
  <si>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</si>
  <si>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</si>
  <si>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</si>
  <si>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</si>
  <si>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</si>
  <si>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</si>
  <si>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</si>
  <si>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</si>
  <si>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</si>
  <si>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</si>
  <si>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</si>
  <si>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</si>
  <si>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</si>
  <si>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</si>
  <si>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</si>
  <si>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</si>
  <si>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>n</t>
  </si>
  <si>
    <t>04052018.FL.01.DG.1, 04052018.FL.01.DG.2</t>
  </si>
  <si>
    <t>SU-02</t>
  </si>
  <si>
    <t>lower_dam</t>
  </si>
  <si>
    <t>04052018.FL.02.AA.1, 04052018.FL.02.AA.2, 04052018.FL.02.AA.3, 04052018.FL.02.AA.4, 04052018.FL.02.AA.5</t>
  </si>
  <si>
    <t>04052018.FL.02.DG.1, 04052018.FL.02.DG.2</t>
  </si>
  <si>
    <t>SU-03</t>
  </si>
  <si>
    <t>north_west</t>
  </si>
  <si>
    <t>04052018.FL.03.DG.1, 04052018.FL.03.DG.2</t>
  </si>
  <si>
    <t>SU-04</t>
  </si>
  <si>
    <t>04052018.FL.04.DG.1, 04052018.FL.04.DG.2</t>
  </si>
  <si>
    <t>SU-05</t>
  </si>
  <si>
    <t>04052018.FL.05.DG.1, 04052018.FL.05.DG.2</t>
  </si>
  <si>
    <t>SU-06</t>
  </si>
  <si>
    <t>NotEval</t>
  </si>
  <si>
    <t>SU-07</t>
  </si>
  <si>
    <t>04052018.FL.07.DG.1, 04052018.FL.07.DG.2</t>
  </si>
  <si>
    <t>SU-08</t>
  </si>
  <si>
    <t>Lost anchor, trap ~200m off site</t>
  </si>
  <si>
    <t>SU-09</t>
  </si>
  <si>
    <t>SU-10</t>
  </si>
  <si>
    <t>SU-11</t>
  </si>
  <si>
    <t>Trap moved to back</t>
  </si>
  <si>
    <t>SU-12</t>
  </si>
  <si>
    <t>SU-13</t>
  </si>
  <si>
    <t>SU-14</t>
  </si>
  <si>
    <t>middle</t>
  </si>
  <si>
    <t>04052018.FL.14.DG.1, 04052018.FL.14.DG.2</t>
  </si>
  <si>
    <t>SU-15</t>
  </si>
  <si>
    <t>04052018.FL.15.DG.1, 04052018.FL.15.DG.2</t>
  </si>
  <si>
    <t>SU-16</t>
  </si>
  <si>
    <t>SU-17</t>
  </si>
  <si>
    <t>OverSamp</t>
  </si>
  <si>
    <t>SU-18</t>
  </si>
  <si>
    <t>SU-19</t>
  </si>
  <si>
    <t>SU-20</t>
  </si>
  <si>
    <t>SU-21</t>
  </si>
  <si>
    <t>SU-22</t>
  </si>
  <si>
    <t>SU-23</t>
  </si>
  <si>
    <t>SU-24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</si>
  <si>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</si>
  <si>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</si>
  <si>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</si>
  <si>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</si>
  <si>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</si>
  <si>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</si>
  <si>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</si>
  <si>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</si>
  <si>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</si>
  <si>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</si>
  <si>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</si>
  <si>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</si>
  <si>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</si>
  <si>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</si>
  <si>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</si>
  <si>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</si>
  <si>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</si>
  <si>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</si>
  <si>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04052018.FL.41.AA.1, 04052018.FL.41.AA.2, 04052018.FL.41.AA.3, 04052018.FL.41.AA.4, 04052018.FL.41.AA.5</t>
  </si>
  <si>
    <t>04052018.FL.41.DG.1, 04052018.FL.41.DG.2</t>
  </si>
  <si>
    <t>SU-42</t>
  </si>
  <si>
    <t>04052018.FL.42.DG.1, 04052018.FL.42.DG.2</t>
  </si>
  <si>
    <t>SU-43</t>
  </si>
  <si>
    <t>04052018.FL.43.DG.1, 04052018.FL.43.DG.2</t>
  </si>
  <si>
    <t>SU-44</t>
  </si>
  <si>
    <t>04052018.FL.44.DG.1, 04052018.FL.44.DG.2</t>
  </si>
  <si>
    <t>Trap lost - buoy detatched</t>
  </si>
  <si>
    <t>SU-45</t>
  </si>
  <si>
    <t>SU-46</t>
  </si>
  <si>
    <t>SU-47</t>
  </si>
  <si>
    <t>SU-48</t>
  </si>
  <si>
    <t>SU-49</t>
  </si>
  <si>
    <t>Trap damaged</t>
  </si>
  <si>
    <t>SU-50</t>
  </si>
  <si>
    <t>SU-51</t>
  </si>
  <si>
    <t>SU-52</t>
  </si>
  <si>
    <t>Trap lost collection vessel</t>
  </si>
  <si>
    <t>SU-53</t>
  </si>
  <si>
    <t>SU-54</t>
  </si>
  <si>
    <t>SU-55</t>
  </si>
  <si>
    <t>Trap Damaged</t>
  </si>
  <si>
    <t>SU-56</t>
  </si>
  <si>
    <t>SU-57</t>
  </si>
  <si>
    <t>SU-58</t>
  </si>
  <si>
    <t>SU-59</t>
  </si>
  <si>
    <t>SU-60</t>
  </si>
  <si>
    <t>SU-61</t>
  </si>
  <si>
    <t>SU-62</t>
  </si>
  <si>
    <t>SU-63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</si>
  <si>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</si>
  <si>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</si>
  <si>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</si>
  <si>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</si>
  <si>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</si>
  <si>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</si>
  <si>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</si>
  <si>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</si>
  <si>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</si>
  <si>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A</t>
  </si>
  <si>
    <t>S</t>
  </si>
  <si>
    <t>T</t>
  </si>
  <si>
    <t>U</t>
  </si>
  <si>
    <t>W</t>
  </si>
  <si>
    <t>V</t>
  </si>
  <si>
    <t>X</t>
  </si>
  <si>
    <t>Y</t>
  </si>
  <si>
    <t>AB</t>
  </si>
  <si>
    <t>AA</t>
  </si>
  <si>
    <t>AC</t>
  </si>
  <si>
    <t>AD</t>
  </si>
  <si>
    <t>AF</t>
  </si>
  <si>
    <t>AE</t>
  </si>
  <si>
    <t>AG</t>
  </si>
  <si>
    <t>AH</t>
  </si>
  <si>
    <t>AK</t>
  </si>
  <si>
    <t>AJ</t>
  </si>
  <si>
    <t>AU</t>
  </si>
  <si>
    <t>AV</t>
  </si>
  <si>
    <t>AW</t>
  </si>
  <si>
    <t>M</t>
  </si>
  <si>
    <t>N</t>
  </si>
  <si>
    <t>AQ</t>
  </si>
  <si>
    <t>AR</t>
  </si>
  <si>
    <t>AS</t>
  </si>
  <si>
    <t>AT</t>
  </si>
  <si>
    <t>AM</t>
  </si>
  <si>
    <t>AN</t>
  </si>
  <si>
    <t>AO</t>
  </si>
  <si>
    <t>AL</t>
  </si>
  <si>
    <t>AP</t>
  </si>
  <si>
    <t>O</t>
  </si>
  <si>
    <t>P</t>
  </si>
  <si>
    <t>R</t>
  </si>
  <si>
    <t>Q</t>
  </si>
  <si>
    <t>Sonde Su-11 wasn’t entered</t>
  </si>
  <si>
    <t>Trap moved to back, 36.017605, 78.70654</t>
  </si>
  <si>
    <t>DGA - Smoke, Heavy)</t>
  </si>
  <si>
    <t xml:space="preserve">Added notes from trap exetainer to notes column </t>
  </si>
  <si>
    <t>JBB 3/23/20</t>
  </si>
  <si>
    <t xml:space="preserve">QAQC NOTES: </t>
  </si>
  <si>
    <t>notEval</t>
  </si>
  <si>
    <t>overSamp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</si>
  <si>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</si>
  <si>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</si>
  <si>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</si>
  <si>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</si>
  <si>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AB - looks good</t>
  </si>
  <si>
    <t>AB - Okay</t>
  </si>
  <si>
    <t>AB- checked Jacobs corrections and they look good 4/23/2020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</si>
</sst>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14" fontId="0" fillId="0" borderId="0" xfId="0" applyNumberFormat="1"/>
    <xf numFmtId="20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1" fillId="0" borderId="0" xfId="0" applyFont="1"/>
    <xf numFmtId="0" fontId="0" fillId="0" borderId="0" xfId="0" applyBorder="1"/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 applyBorder="1"/>
    <xf numFmtId="0" fontId="0" fillId="3" borderId="0" xfId="0" applyFill="1"/>
    <xf numFmtId="164" fontId="0" fillId="0" borderId="0" xfId="0" applyNumberFormat="1"/>
    <xf numFmtId="0" fontId="0" fillId="4" borderId="0" xfId="0" applyFill="1"/>
    <xf numFmtId="14" fontId="0" fillId="4" borderId="0" xfId="0" applyNumberFormat="1" applyFill="1"/>
    <xf numFmtId="20" fontId="0" fillId="4" borderId="0" xfId="0" applyNumberFormat="1" applyFill="1"/>
    <xf numFmtId="21" fontId="0" fillId="4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24D6-57B5-F041-9AE9-A90264FEB288}">
  <dimension ref="A1:AW121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89" sqref="G89"/>
    </sheetView>
  </sheetViews>
  <sheetFormatPr defaultColWidth="11.42578125" defaultRowHeight="12.75" x14ac:dyDescent="0.2"/>
  <cols>
    <col min="1" max="2" width="8.85546875" customWidth="1"/>
    <col min="3" max="3" width="13.7109375" customWidth="1"/>
    <col min="4" max="4" width="12.7109375" customWidth="1"/>
    <col min="5" max="5" width="8.85546875" customWidth="1"/>
    <col min="6" max="6" width="22.28515625" customWidth="1"/>
    <col min="7" max="15" width="8.85546875" customWidth="1"/>
    <col min="16" max="16" width="12" customWidth="1"/>
    <col min="17" max="256" width="8.85546875" customWidth="1"/>
  </cols>
  <sheetData>
    <row r="1" spans="1:49" ht="14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1" customFormat="1" ht="14.1" customHeight="1" x14ac:dyDescent="0.2">
      <c r="A2" s="1" t="s">
        <v>49</v>
      </c>
      <c r="B2" s="1">
        <v>1473723.5634522201</v>
      </c>
      <c r="C2" s="1">
        <v>-334920.16357991501</v>
      </c>
      <c r="D2" s="1" t="s">
        <v>50</v>
      </c>
      <c r="E2" s="1">
        <v>1539862.4160863401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6.16</v>
      </c>
      <c r="K2" s="1">
        <v>74.88</v>
      </c>
      <c r="L2" s="1" t="s">
        <v>55</v>
      </c>
      <c r="M2" s="2">
        <v>43194</v>
      </c>
      <c r="N2" s="3">
        <v>0.52083333333333337</v>
      </c>
      <c r="O2" s="4">
        <v>0.52737268518518521</v>
      </c>
      <c r="P2" s="2">
        <v>43195</v>
      </c>
      <c r="Q2" s="1">
        <v>45</v>
      </c>
      <c r="R2" s="1" t="s">
        <v>56</v>
      </c>
      <c r="S2" s="1" t="s">
        <v>54</v>
      </c>
      <c r="T2" s="1" t="s">
        <v>54</v>
      </c>
      <c r="U2" s="1" t="s">
        <v>54</v>
      </c>
      <c r="V2" s="1" t="s">
        <v>54</v>
      </c>
      <c r="W2" s="1" t="s">
        <v>54</v>
      </c>
      <c r="X2" s="1" t="s">
        <v>54</v>
      </c>
      <c r="Y2" s="1" t="s">
        <v>54</v>
      </c>
      <c r="Z2" s="1" t="s">
        <v>54</v>
      </c>
      <c r="AA2" s="1" t="s">
        <v>54</v>
      </c>
      <c r="AB2" s="1" t="s">
        <v>54</v>
      </c>
      <c r="AC2" s="1" t="s">
        <v>54</v>
      </c>
      <c r="AD2" s="1" t="s">
        <v>54</v>
      </c>
      <c r="AE2" s="1" t="s">
        <v>54</v>
      </c>
      <c r="AF2" s="1" t="s">
        <v>54</v>
      </c>
      <c r="AG2" s="1" t="s">
        <v>54</v>
      </c>
      <c r="AH2" s="1" t="s">
        <v>54</v>
      </c>
      <c r="AI2" s="1" t="s">
        <v>54</v>
      </c>
      <c r="AJ2" s="1" t="s">
        <v>54</v>
      </c>
      <c r="AK2" s="1" t="s">
        <v>54</v>
      </c>
      <c r="AL2" s="1" t="s">
        <v>54</v>
      </c>
      <c r="AM2" s="1" t="s">
        <v>57</v>
      </c>
      <c r="AN2" s="1">
        <v>115</v>
      </c>
      <c r="AO2" s="1">
        <v>25</v>
      </c>
      <c r="AP2" s="1" t="s">
        <v>54</v>
      </c>
      <c r="AQ2" s="2">
        <v>43195</v>
      </c>
      <c r="AR2" s="3">
        <v>0.52708333333333335</v>
      </c>
      <c r="AS2" s="1">
        <v>2</v>
      </c>
      <c r="AT2" s="1" t="s">
        <v>54</v>
      </c>
      <c r="AU2" s="1" t="s">
        <v>54</v>
      </c>
      <c r="AV2" s="1">
        <v>36.002138000000002</v>
      </c>
      <c r="AW2" s="1">
        <v>78.634446999999994</v>
      </c>
    </row>
    <row r="3" spans="1:49" s="1" customFormat="1" ht="14.1" customHeight="1" x14ac:dyDescent="0.2">
      <c r="A3" s="1" t="s">
        <v>58</v>
      </c>
      <c r="B3" s="1">
        <v>1478072.3967247601</v>
      </c>
      <c r="C3" s="1">
        <v>-337204.35121270397</v>
      </c>
      <c r="D3" s="1" t="s">
        <v>59</v>
      </c>
      <c r="E3" s="1">
        <v>1714544.6322379201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6.86</v>
      </c>
      <c r="K3" s="1">
        <v>68.05</v>
      </c>
      <c r="L3" s="1" t="s">
        <v>55</v>
      </c>
      <c r="M3" s="2">
        <v>43194</v>
      </c>
      <c r="N3" s="3">
        <v>0.5541666666666667</v>
      </c>
      <c r="O3" s="3">
        <v>0.56628472222222226</v>
      </c>
      <c r="P3" s="2">
        <v>43195</v>
      </c>
      <c r="Q3" s="1">
        <v>45</v>
      </c>
      <c r="R3" s="1" t="s">
        <v>56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60</v>
      </c>
      <c r="AM3" s="1" t="s">
        <v>61</v>
      </c>
      <c r="AN3" s="1">
        <v>115</v>
      </c>
      <c r="AO3" s="1">
        <v>25</v>
      </c>
      <c r="AP3" s="1">
        <v>760.9</v>
      </c>
      <c r="AQ3" s="2">
        <v>43195</v>
      </c>
      <c r="AR3" s="3">
        <v>0.56597222222222221</v>
      </c>
      <c r="AS3" s="1">
        <v>2</v>
      </c>
      <c r="AT3" s="1" t="s">
        <v>54</v>
      </c>
      <c r="AU3" s="18" t="s">
        <v>192</v>
      </c>
      <c r="AV3" s="1">
        <v>35.976104999999997</v>
      </c>
      <c r="AW3" s="1">
        <v>78.589028999999996</v>
      </c>
    </row>
    <row r="4" spans="1:49" s="1" customFormat="1" ht="14.1" customHeight="1" x14ac:dyDescent="0.2">
      <c r="A4" s="1" t="s">
        <v>62</v>
      </c>
      <c r="B4" s="1">
        <v>1464387.0676538299</v>
      </c>
      <c r="C4" s="1">
        <v>-332897.97117518802</v>
      </c>
      <c r="D4" s="1" t="s">
        <v>63</v>
      </c>
      <c r="E4" s="1">
        <v>2431945.9785411698</v>
      </c>
      <c r="F4" s="1" t="s">
        <v>51</v>
      </c>
      <c r="G4" s="1" t="s">
        <v>52</v>
      </c>
      <c r="H4" s="1" t="s">
        <v>53</v>
      </c>
      <c r="I4" s="1" t="s">
        <v>54</v>
      </c>
      <c r="J4" s="1">
        <v>9.73</v>
      </c>
      <c r="K4" s="1">
        <v>34.1</v>
      </c>
      <c r="L4" s="1" t="s">
        <v>55</v>
      </c>
      <c r="M4" s="2">
        <v>43194</v>
      </c>
      <c r="N4" s="3">
        <v>0.45624999999999999</v>
      </c>
      <c r="O4" s="4">
        <v>0.46427083333333335</v>
      </c>
      <c r="P4" s="2">
        <v>43195</v>
      </c>
      <c r="Q4" s="1">
        <v>45</v>
      </c>
      <c r="R4" s="1" t="s">
        <v>56</v>
      </c>
      <c r="S4" s="1">
        <v>1.8</v>
      </c>
      <c r="T4" s="1">
        <v>0.1</v>
      </c>
      <c r="U4" s="1">
        <v>16.41</v>
      </c>
      <c r="V4" s="1">
        <v>101.3</v>
      </c>
      <c r="W4" s="1">
        <v>9.93</v>
      </c>
      <c r="X4" s="1">
        <v>0.129</v>
      </c>
      <c r="Y4" s="1">
        <v>7.99</v>
      </c>
      <c r="Z4" s="1" t="s">
        <v>54</v>
      </c>
      <c r="AA4" s="1">
        <v>16</v>
      </c>
      <c r="AB4" s="1">
        <v>8.6</v>
      </c>
      <c r="AC4" s="1" t="s">
        <v>54</v>
      </c>
      <c r="AD4" s="1" t="s">
        <v>54</v>
      </c>
      <c r="AE4" s="1" t="s">
        <v>54</v>
      </c>
      <c r="AF4" s="1" t="s">
        <v>54</v>
      </c>
      <c r="AG4" s="1" t="s">
        <v>54</v>
      </c>
      <c r="AH4" s="1" t="s">
        <v>54</v>
      </c>
      <c r="AI4" s="1" t="s">
        <v>54</v>
      </c>
      <c r="AJ4" s="1" t="s">
        <v>54</v>
      </c>
      <c r="AK4" s="1" t="s">
        <v>54</v>
      </c>
      <c r="AL4" s="1" t="s">
        <v>54</v>
      </c>
      <c r="AM4" s="1" t="s">
        <v>64</v>
      </c>
      <c r="AN4" s="1">
        <v>115</v>
      </c>
      <c r="AO4" s="1">
        <v>25</v>
      </c>
      <c r="AP4" s="1" t="s">
        <v>54</v>
      </c>
      <c r="AQ4" s="2">
        <v>43195</v>
      </c>
      <c r="AR4" s="3">
        <v>0.46388888888888885</v>
      </c>
      <c r="AS4" s="1">
        <v>2</v>
      </c>
      <c r="AT4" s="1" t="s">
        <v>54</v>
      </c>
      <c r="AU4" s="1" t="s">
        <v>54</v>
      </c>
      <c r="AV4" s="1">
        <v>36.032317999999997</v>
      </c>
      <c r="AW4" s="1">
        <v>78.736818999999997</v>
      </c>
    </row>
    <row r="5" spans="1:49" s="1" customFormat="1" ht="14.1" customHeight="1" x14ac:dyDescent="0.2">
      <c r="A5" s="1" t="s">
        <v>65</v>
      </c>
      <c r="B5" s="1">
        <v>1462854.58357074</v>
      </c>
      <c r="C5" s="1">
        <v>-335718.99256756902</v>
      </c>
      <c r="D5" s="1" t="s">
        <v>63</v>
      </c>
      <c r="E5" s="1">
        <v>2431945.9785411698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9.73</v>
      </c>
      <c r="K5" s="1">
        <v>34.1</v>
      </c>
      <c r="L5" s="1" t="s">
        <v>55</v>
      </c>
      <c r="M5" s="2">
        <v>43194</v>
      </c>
      <c r="N5" s="3">
        <v>0.4465277777777778</v>
      </c>
      <c r="O5" s="4">
        <v>0.45065972222222223</v>
      </c>
      <c r="P5" s="2">
        <v>43195</v>
      </c>
      <c r="Q5" s="1">
        <v>45</v>
      </c>
      <c r="R5" s="1" t="s">
        <v>56</v>
      </c>
      <c r="S5" s="1">
        <v>1.2</v>
      </c>
      <c r="T5" s="1">
        <v>0.1</v>
      </c>
      <c r="U5" s="1">
        <v>15.45</v>
      </c>
      <c r="V5" s="1">
        <v>91.7</v>
      </c>
      <c r="W5" s="1">
        <v>9.15</v>
      </c>
      <c r="X5" s="1">
        <v>0.13</v>
      </c>
      <c r="Y5" s="1">
        <v>8.02</v>
      </c>
      <c r="Z5" s="1" t="s">
        <v>54</v>
      </c>
      <c r="AA5" s="1">
        <v>25.9</v>
      </c>
      <c r="AB5" s="1">
        <v>9.3000000000000007</v>
      </c>
      <c r="AC5" s="1" t="s">
        <v>54</v>
      </c>
      <c r="AD5" s="1" t="s">
        <v>54</v>
      </c>
      <c r="AE5" s="1" t="s">
        <v>54</v>
      </c>
      <c r="AF5" s="1" t="s">
        <v>54</v>
      </c>
      <c r="AG5" s="1" t="s">
        <v>54</v>
      </c>
      <c r="AH5" s="1" t="s">
        <v>54</v>
      </c>
      <c r="AI5" s="1" t="s">
        <v>54</v>
      </c>
      <c r="AJ5" s="1" t="s">
        <v>54</v>
      </c>
      <c r="AK5" s="1" t="s">
        <v>54</v>
      </c>
      <c r="AL5" s="1" t="s">
        <v>54</v>
      </c>
      <c r="AM5" s="1" t="s">
        <v>66</v>
      </c>
      <c r="AN5" s="1">
        <v>115</v>
      </c>
      <c r="AO5" s="1">
        <v>25</v>
      </c>
      <c r="AP5" s="1" t="s">
        <v>54</v>
      </c>
      <c r="AQ5" s="2">
        <v>43195</v>
      </c>
      <c r="AR5" s="3">
        <v>0.45069444444444445</v>
      </c>
      <c r="AS5" s="1">
        <v>0</v>
      </c>
      <c r="AT5" s="1" t="s">
        <v>54</v>
      </c>
      <c r="AU5" s="1" t="s">
        <v>54</v>
      </c>
      <c r="AV5" s="1">
        <v>36.012140000000002</v>
      </c>
      <c r="AW5" s="1">
        <v>78.760903999999996</v>
      </c>
    </row>
    <row r="6" spans="1:49" s="1" customFormat="1" ht="14.1" customHeight="1" x14ac:dyDescent="0.2">
      <c r="A6" s="1" t="s">
        <v>67</v>
      </c>
      <c r="B6" s="1">
        <v>1475475.3988174601</v>
      </c>
      <c r="C6" s="1">
        <v>-338391.54240757501</v>
      </c>
      <c r="D6" s="1" t="s">
        <v>59</v>
      </c>
      <c r="E6" s="1">
        <v>1714544.6322379201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6.86</v>
      </c>
      <c r="K6" s="1">
        <v>68.05</v>
      </c>
      <c r="L6" s="1" t="s">
        <v>55</v>
      </c>
      <c r="M6" s="2">
        <v>43194</v>
      </c>
      <c r="N6" s="3">
        <v>0.54722222222222217</v>
      </c>
      <c r="O6" s="3">
        <v>0.55733796296296301</v>
      </c>
      <c r="P6" s="2">
        <v>43195</v>
      </c>
      <c r="Q6" s="1">
        <v>45</v>
      </c>
      <c r="R6" s="1" t="s">
        <v>56</v>
      </c>
      <c r="S6" s="1" t="s">
        <v>54</v>
      </c>
      <c r="T6" s="1" t="s">
        <v>54</v>
      </c>
      <c r="U6" s="1" t="s">
        <v>54</v>
      </c>
      <c r="V6" s="1" t="s">
        <v>54</v>
      </c>
      <c r="W6" s="1" t="s">
        <v>54</v>
      </c>
      <c r="X6" s="1" t="s">
        <v>54</v>
      </c>
      <c r="Y6" s="1" t="s">
        <v>54</v>
      </c>
      <c r="Z6" s="1" t="s">
        <v>54</v>
      </c>
      <c r="AA6" s="1" t="s">
        <v>54</v>
      </c>
      <c r="AB6" s="1" t="s">
        <v>54</v>
      </c>
      <c r="AC6" s="1" t="s">
        <v>54</v>
      </c>
      <c r="AD6" s="1" t="s">
        <v>54</v>
      </c>
      <c r="AE6" s="1" t="s">
        <v>54</v>
      </c>
      <c r="AF6" s="1" t="s">
        <v>54</v>
      </c>
      <c r="AG6" s="1" t="s">
        <v>54</v>
      </c>
      <c r="AH6" s="1" t="s">
        <v>54</v>
      </c>
      <c r="AI6" s="1" t="s">
        <v>54</v>
      </c>
      <c r="AJ6" s="1" t="s">
        <v>54</v>
      </c>
      <c r="AK6" s="1" t="s">
        <v>54</v>
      </c>
      <c r="AL6" s="1" t="s">
        <v>54</v>
      </c>
      <c r="AM6" s="1" t="s">
        <v>68</v>
      </c>
      <c r="AN6" s="1">
        <v>115</v>
      </c>
      <c r="AO6" s="1">
        <v>25</v>
      </c>
      <c r="AP6" s="18">
        <v>760.9</v>
      </c>
      <c r="AQ6" s="2">
        <v>43195</v>
      </c>
      <c r="AR6" s="3">
        <v>0.55694444444444446</v>
      </c>
      <c r="AS6" s="1">
        <v>0</v>
      </c>
      <c r="AT6" s="1" t="s">
        <v>54</v>
      </c>
      <c r="AU6" s="1" t="s">
        <v>54</v>
      </c>
      <c r="AV6" s="1">
        <v>35.97007</v>
      </c>
      <c r="AW6" s="1">
        <v>78.621206999999998</v>
      </c>
    </row>
    <row r="7" spans="1:49" ht="14.1" customHeight="1" x14ac:dyDescent="0.2">
      <c r="A7" t="s">
        <v>69</v>
      </c>
      <c r="B7">
        <v>1477918.11011576</v>
      </c>
      <c r="C7">
        <v>-336606.27869524597</v>
      </c>
      <c r="D7" t="s">
        <v>59</v>
      </c>
      <c r="E7">
        <v>1714544.6322379201</v>
      </c>
      <c r="F7" t="s">
        <v>51</v>
      </c>
      <c r="G7" t="s">
        <v>52</v>
      </c>
      <c r="H7" s="18" t="s">
        <v>70</v>
      </c>
      <c r="I7" t="s">
        <v>54</v>
      </c>
      <c r="J7">
        <v>6.86</v>
      </c>
      <c r="K7">
        <v>68.05</v>
      </c>
      <c r="L7" t="s">
        <v>55</v>
      </c>
    </row>
    <row r="8" spans="1:49" s="1" customFormat="1" ht="14.1" customHeight="1" x14ac:dyDescent="0.2">
      <c r="A8" s="1" t="s">
        <v>71</v>
      </c>
      <c r="B8" s="1">
        <v>1470832.2921865899</v>
      </c>
      <c r="C8" s="1">
        <v>-335045.69332328701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43194</v>
      </c>
      <c r="N8" s="3">
        <v>0.49513888888888885</v>
      </c>
      <c r="O8" s="4">
        <v>0.51649305555555558</v>
      </c>
      <c r="P8" s="2">
        <v>43195</v>
      </c>
      <c r="Q8" s="1">
        <v>45</v>
      </c>
      <c r="R8" s="1" t="s">
        <v>56</v>
      </c>
      <c r="S8" s="1">
        <v>8</v>
      </c>
      <c r="T8" s="1">
        <v>0.1</v>
      </c>
      <c r="U8" s="1">
        <v>15.58</v>
      </c>
      <c r="V8" s="1">
        <v>106.1</v>
      </c>
      <c r="W8" s="1">
        <v>10.47</v>
      </c>
      <c r="X8" s="1">
        <v>0.14299999999999999</v>
      </c>
      <c r="Y8" s="1">
        <v>8.0399999999999991</v>
      </c>
      <c r="Z8" s="1" t="s">
        <v>54</v>
      </c>
      <c r="AA8" s="1">
        <v>8.1999999999999993</v>
      </c>
      <c r="AB8" s="1">
        <v>11</v>
      </c>
      <c r="AC8" s="1">
        <v>7</v>
      </c>
      <c r="AD8" s="1">
        <v>11.93</v>
      </c>
      <c r="AE8" s="1">
        <v>61.1</v>
      </c>
      <c r="AF8" s="1">
        <v>6.63</v>
      </c>
      <c r="AG8" s="1">
        <v>0.14699999999999999</v>
      </c>
      <c r="AH8" s="1">
        <v>7.61</v>
      </c>
      <c r="AI8" s="1" t="s">
        <v>54</v>
      </c>
      <c r="AJ8" s="1">
        <v>11.4</v>
      </c>
      <c r="AK8" s="1">
        <v>5.8</v>
      </c>
      <c r="AM8" s="1" t="s">
        <v>72</v>
      </c>
      <c r="AN8" s="1">
        <v>115</v>
      </c>
      <c r="AO8" s="1">
        <v>25</v>
      </c>
      <c r="AP8" s="1" t="s">
        <v>54</v>
      </c>
      <c r="AQ8" s="2">
        <v>43195</v>
      </c>
      <c r="AR8" s="3">
        <v>0.51597222222222217</v>
      </c>
      <c r="AS8" s="1">
        <v>0</v>
      </c>
      <c r="AT8" s="1" t="s">
        <v>54</v>
      </c>
      <c r="AU8" s="1" t="s">
        <v>54</v>
      </c>
      <c r="AV8" s="1">
        <v>36.005670000000002</v>
      </c>
      <c r="AW8" s="1">
        <v>78.667749000000001</v>
      </c>
    </row>
    <row r="9" spans="1:49" s="1" customFormat="1" ht="14.1" customHeight="1" x14ac:dyDescent="0.2">
      <c r="A9" s="1" t="s">
        <v>73</v>
      </c>
      <c r="B9" s="1">
        <v>1463782.2359781801</v>
      </c>
      <c r="C9" s="1">
        <v>-334735.986739307</v>
      </c>
      <c r="D9" s="1" t="s">
        <v>63</v>
      </c>
      <c r="E9" s="1">
        <v>2431945.9785411698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9.73</v>
      </c>
      <c r="K9" s="1">
        <v>34.1</v>
      </c>
      <c r="L9" s="1" t="s">
        <v>55</v>
      </c>
      <c r="M9" s="2">
        <v>43194</v>
      </c>
      <c r="N9" s="3">
        <v>0.4513888888888889</v>
      </c>
      <c r="O9" s="4">
        <v>0.4584375</v>
      </c>
      <c r="P9" s="2">
        <v>43195</v>
      </c>
      <c r="Q9" s="1">
        <v>45</v>
      </c>
      <c r="R9" s="1" t="s">
        <v>56</v>
      </c>
      <c r="S9" s="1">
        <v>4</v>
      </c>
      <c r="T9" s="1">
        <v>0.1</v>
      </c>
      <c r="U9" s="1">
        <v>15.24</v>
      </c>
      <c r="V9" s="1">
        <v>95.2</v>
      </c>
      <c r="W9" s="1">
        <v>9.5500000000000007</v>
      </c>
      <c r="X9" s="1">
        <v>0.128</v>
      </c>
      <c r="Y9" s="1">
        <v>8</v>
      </c>
      <c r="Z9" s="1" t="s">
        <v>54</v>
      </c>
      <c r="AA9" s="1">
        <v>15.8</v>
      </c>
      <c r="AB9" s="1">
        <v>6.4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1" t="s">
        <v>54</v>
      </c>
      <c r="AO9" s="1" t="s">
        <v>54</v>
      </c>
      <c r="AP9" s="1" t="s">
        <v>54</v>
      </c>
      <c r="AQ9" s="2">
        <v>43195</v>
      </c>
      <c r="AR9" s="3">
        <v>0.45833333333333331</v>
      </c>
      <c r="AS9" s="1">
        <v>0</v>
      </c>
      <c r="AT9" s="1" t="s">
        <v>74</v>
      </c>
      <c r="AU9" s="18" t="s">
        <v>74</v>
      </c>
      <c r="AV9" s="1">
        <v>36.018825</v>
      </c>
      <c r="AW9" s="1">
        <v>78.748925999999997</v>
      </c>
    </row>
    <row r="10" spans="1:49" ht="14.1" customHeight="1" x14ac:dyDescent="0.2">
      <c r="A10" t="s">
        <v>75</v>
      </c>
      <c r="B10">
        <v>1471191.0327598799</v>
      </c>
      <c r="C10">
        <v>-335666.82881650003</v>
      </c>
      <c r="D10" t="s">
        <v>50</v>
      </c>
      <c r="E10">
        <v>1539862.4160863401</v>
      </c>
      <c r="F10" t="s">
        <v>51</v>
      </c>
      <c r="G10" t="s">
        <v>52</v>
      </c>
      <c r="H10" s="18" t="s">
        <v>70</v>
      </c>
      <c r="I10" t="s">
        <v>54</v>
      </c>
      <c r="J10">
        <v>6.16</v>
      </c>
      <c r="K10">
        <v>74.88</v>
      </c>
      <c r="L10" t="s">
        <v>55</v>
      </c>
    </row>
    <row r="11" spans="1:49" s="1" customFormat="1" ht="14.1" customHeight="1" x14ac:dyDescent="0.2">
      <c r="A11" s="1" t="s">
        <v>76</v>
      </c>
      <c r="B11" s="1">
        <v>1462680.4677613</v>
      </c>
      <c r="C11" s="1">
        <v>-332462.20717664203</v>
      </c>
      <c r="D11" s="1" t="s">
        <v>63</v>
      </c>
      <c r="E11" s="1">
        <v>2431945.9785411698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9.73</v>
      </c>
      <c r="K11" s="1">
        <v>34.1</v>
      </c>
      <c r="L11" s="1" t="s">
        <v>55</v>
      </c>
      <c r="M11" s="2">
        <v>43194</v>
      </c>
      <c r="N11" s="3">
        <v>0.4381944444444445</v>
      </c>
      <c r="O11" s="4">
        <v>0.44262731481481482</v>
      </c>
      <c r="P11" s="2">
        <v>43195</v>
      </c>
      <c r="Q11" s="1">
        <v>45</v>
      </c>
      <c r="R11" s="1" t="s">
        <v>56</v>
      </c>
      <c r="S11" s="1">
        <v>1.7</v>
      </c>
      <c r="T11" s="1">
        <v>0.1</v>
      </c>
      <c r="U11" s="1">
        <v>15.9</v>
      </c>
      <c r="V11" s="1">
        <v>98.5</v>
      </c>
      <c r="W11" s="1">
        <v>9.74</v>
      </c>
      <c r="X11" s="1">
        <v>0.113</v>
      </c>
      <c r="Y11" s="1">
        <v>8.0500000000000007</v>
      </c>
      <c r="Z11" s="1" t="s">
        <v>54</v>
      </c>
      <c r="AA11" s="1">
        <v>21.3</v>
      </c>
      <c r="AB11" s="1">
        <v>8.1999999999999993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54</v>
      </c>
      <c r="AM11" s="1" t="s">
        <v>54</v>
      </c>
      <c r="AN11" s="1" t="s">
        <v>54</v>
      </c>
      <c r="AO11" s="1" t="s">
        <v>54</v>
      </c>
      <c r="AP11" s="1" t="s">
        <v>54</v>
      </c>
      <c r="AQ11" s="2">
        <v>43195</v>
      </c>
      <c r="AR11" s="3">
        <v>0.44236111111111115</v>
      </c>
      <c r="AS11" s="1">
        <v>0</v>
      </c>
      <c r="AT11" s="1" t="s">
        <v>54</v>
      </c>
      <c r="AU11" s="1" t="s">
        <v>54</v>
      </c>
      <c r="AV11" s="1">
        <v>36.039793000000003</v>
      </c>
      <c r="AW11" s="1">
        <v>78.756135999999998</v>
      </c>
    </row>
    <row r="12" spans="1:49" s="1" customFormat="1" ht="14.1" customHeight="1" x14ac:dyDescent="0.2">
      <c r="A12" s="1" t="s">
        <v>77</v>
      </c>
      <c r="B12" s="1">
        <v>1466414.9252194699</v>
      </c>
      <c r="C12" s="1">
        <v>-334215.53306021</v>
      </c>
      <c r="D12" s="1" t="s">
        <v>63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43194</v>
      </c>
      <c r="N12" s="3">
        <v>0.48402777777777778</v>
      </c>
      <c r="O12" s="4">
        <v>0.49840277777777775</v>
      </c>
      <c r="P12" s="2">
        <v>43195</v>
      </c>
      <c r="Q12" s="1">
        <v>50</v>
      </c>
      <c r="R12" s="1" t="s">
        <v>56</v>
      </c>
      <c r="S12" s="18">
        <v>3.1</v>
      </c>
      <c r="T12" s="18">
        <v>0.1</v>
      </c>
      <c r="U12" s="18">
        <v>14.27</v>
      </c>
      <c r="V12" s="18">
        <v>90.2</v>
      </c>
      <c r="W12" s="18">
        <v>9.1999999999999993</v>
      </c>
      <c r="X12" s="18">
        <v>0.14599999999999999</v>
      </c>
      <c r="Y12" s="18">
        <v>7.96</v>
      </c>
      <c r="Z12" s="1" t="s">
        <v>54</v>
      </c>
      <c r="AA12" s="18">
        <v>11.1</v>
      </c>
      <c r="AB12" s="18">
        <v>4.9000000000000004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54</v>
      </c>
      <c r="AM12" s="1" t="s">
        <v>54</v>
      </c>
      <c r="AN12" s="1" t="s">
        <v>54</v>
      </c>
      <c r="AO12" s="1" t="s">
        <v>54</v>
      </c>
      <c r="AP12" s="1" t="s">
        <v>54</v>
      </c>
      <c r="AQ12" s="2">
        <v>43195</v>
      </c>
      <c r="AR12" s="3">
        <v>0.50624999999999998</v>
      </c>
      <c r="AS12" s="1">
        <v>75</v>
      </c>
      <c r="AT12" s="1" t="s">
        <v>78</v>
      </c>
      <c r="AU12" s="18" t="s">
        <v>191</v>
      </c>
      <c r="AV12" s="1">
        <v>36.019443000000003</v>
      </c>
      <c r="AW12" s="1">
        <v>78.716990999999993</v>
      </c>
    </row>
    <row r="13" spans="1:49" s="1" customFormat="1" ht="14.1" customHeight="1" x14ac:dyDescent="0.2">
      <c r="A13" s="1" t="s">
        <v>79</v>
      </c>
      <c r="B13" s="1">
        <v>1474509.59706117</v>
      </c>
      <c r="C13" s="1">
        <v>-339143.283510532</v>
      </c>
      <c r="D13" s="1" t="s">
        <v>59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43194</v>
      </c>
      <c r="N13" s="3">
        <v>0.54166666666666663</v>
      </c>
      <c r="O13" s="3">
        <v>0.55127314814814821</v>
      </c>
      <c r="P13" s="2">
        <v>43195</v>
      </c>
      <c r="Q13" s="1">
        <v>45</v>
      </c>
      <c r="R13" s="1" t="s">
        <v>56</v>
      </c>
      <c r="S13" s="1" t="s">
        <v>54</v>
      </c>
      <c r="T13" s="1" t="s">
        <v>54</v>
      </c>
      <c r="U13" s="1" t="s">
        <v>54</v>
      </c>
      <c r="V13" s="1" t="s">
        <v>54</v>
      </c>
      <c r="W13" s="1" t="s">
        <v>54</v>
      </c>
      <c r="X13" s="1" t="s">
        <v>54</v>
      </c>
      <c r="Y13" s="1" t="s">
        <v>54</v>
      </c>
      <c r="Z13" s="1" t="s">
        <v>54</v>
      </c>
      <c r="AA13" s="1" t="s">
        <v>54</v>
      </c>
      <c r="AB13" s="1" t="s">
        <v>54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54</v>
      </c>
      <c r="AN13" s="1" t="s">
        <v>54</v>
      </c>
      <c r="AO13" s="1" t="s">
        <v>54</v>
      </c>
      <c r="AP13" s="1" t="s">
        <v>54</v>
      </c>
      <c r="AQ13" s="2">
        <v>43195</v>
      </c>
      <c r="AR13" s="3">
        <v>0.55069444444444449</v>
      </c>
      <c r="AS13" s="1">
        <v>0</v>
      </c>
      <c r="AT13" s="1" t="s">
        <v>54</v>
      </c>
      <c r="AU13" s="1" t="s">
        <v>54</v>
      </c>
      <c r="AV13" s="1">
        <v>35.965547000000001</v>
      </c>
      <c r="AW13" s="1">
        <v>78.633861999999993</v>
      </c>
    </row>
    <row r="14" spans="1:49" s="1" customFormat="1" ht="14.1" customHeight="1" x14ac:dyDescent="0.2">
      <c r="A14" s="1" t="s">
        <v>80</v>
      </c>
      <c r="B14" s="1">
        <v>1472663.7434799201</v>
      </c>
      <c r="C14" s="1">
        <v>-334935.09844277601</v>
      </c>
      <c r="D14" s="1" t="s">
        <v>50</v>
      </c>
      <c r="E14" s="1">
        <v>1539862.4160863401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6.16</v>
      </c>
      <c r="K14" s="1">
        <v>74.88</v>
      </c>
      <c r="L14" s="1" t="s">
        <v>55</v>
      </c>
      <c r="M14" s="2">
        <v>43194</v>
      </c>
      <c r="N14" s="3">
        <v>0.53263888888888888</v>
      </c>
      <c r="O14" s="3">
        <v>0.54096064814814815</v>
      </c>
      <c r="P14" s="2">
        <v>43195</v>
      </c>
      <c r="Q14" s="1">
        <v>45</v>
      </c>
      <c r="R14" s="1" t="s">
        <v>56</v>
      </c>
      <c r="S14" s="1" t="s">
        <v>54</v>
      </c>
      <c r="T14" s="1" t="s">
        <v>54</v>
      </c>
      <c r="U14" s="1" t="s">
        <v>54</v>
      </c>
      <c r="V14" s="1" t="s">
        <v>54</v>
      </c>
      <c r="W14" s="1" t="s">
        <v>54</v>
      </c>
      <c r="X14" s="1" t="s">
        <v>54</v>
      </c>
      <c r="Y14" s="1" t="s">
        <v>54</v>
      </c>
      <c r="Z14" s="1" t="s">
        <v>54</v>
      </c>
      <c r="AA14" s="1" t="s">
        <v>54</v>
      </c>
      <c r="AB14" s="1" t="s">
        <v>54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 t="s">
        <v>54</v>
      </c>
      <c r="AO14" s="1" t="s">
        <v>54</v>
      </c>
      <c r="AP14" s="1" t="s">
        <v>54</v>
      </c>
      <c r="AQ14" s="2">
        <v>43195</v>
      </c>
      <c r="AR14" s="3">
        <v>0.54097222222222219</v>
      </c>
      <c r="AS14" s="1">
        <v>3</v>
      </c>
      <c r="AT14" s="1" t="s">
        <v>54</v>
      </c>
      <c r="AU14" s="1" t="s">
        <v>54</v>
      </c>
      <c r="AV14" s="1">
        <v>36.003619999999998</v>
      </c>
      <c r="AW14" s="1">
        <v>78.646276</v>
      </c>
    </row>
    <row r="15" spans="1:49" s="1" customFormat="1" ht="14.1" customHeight="1" x14ac:dyDescent="0.2">
      <c r="A15" s="1" t="s">
        <v>81</v>
      </c>
      <c r="B15" s="1">
        <v>1465540.00673415</v>
      </c>
      <c r="C15" s="1">
        <v>-329572.61813189602</v>
      </c>
      <c r="D15" s="1" t="s">
        <v>82</v>
      </c>
      <c r="E15" s="1">
        <v>2375053.6585566499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9.5</v>
      </c>
      <c r="K15" s="1">
        <v>47.15</v>
      </c>
      <c r="L15" s="1" t="s">
        <v>55</v>
      </c>
      <c r="M15" s="2">
        <v>43194</v>
      </c>
      <c r="N15" s="3">
        <v>0.46666666666666662</v>
      </c>
      <c r="O15" s="4">
        <v>0.47516203703703702</v>
      </c>
      <c r="P15" s="2">
        <v>43195</v>
      </c>
      <c r="Q15" s="1">
        <v>45</v>
      </c>
      <c r="R15" s="1" t="s">
        <v>56</v>
      </c>
      <c r="S15" s="1">
        <v>1.7</v>
      </c>
      <c r="T15" s="1">
        <v>0.1</v>
      </c>
      <c r="U15" s="1">
        <v>16.149999999999999</v>
      </c>
      <c r="V15" s="1">
        <v>97.3</v>
      </c>
      <c r="W15" s="1">
        <v>9.6</v>
      </c>
      <c r="X15" s="1">
        <v>0.14000000000000001</v>
      </c>
      <c r="Y15" s="1">
        <v>7.97</v>
      </c>
      <c r="Z15" s="1" t="s">
        <v>54</v>
      </c>
      <c r="AA15" s="1">
        <v>19</v>
      </c>
      <c r="AB15" s="1">
        <v>5.4</v>
      </c>
      <c r="AC15" s="1" t="s">
        <v>54</v>
      </c>
      <c r="AD15" s="1" t="s">
        <v>54</v>
      </c>
      <c r="AE15" s="1" t="s">
        <v>54</v>
      </c>
      <c r="AF15" s="1" t="s">
        <v>54</v>
      </c>
      <c r="AG15" s="1" t="s">
        <v>54</v>
      </c>
      <c r="AH15" s="1" t="s">
        <v>54</v>
      </c>
      <c r="AI15" s="1" t="s">
        <v>54</v>
      </c>
      <c r="AJ15" s="1" t="s">
        <v>54</v>
      </c>
      <c r="AK15" s="1" t="s">
        <v>54</v>
      </c>
      <c r="AL15" s="1" t="s">
        <v>54</v>
      </c>
      <c r="AM15" s="1" t="s">
        <v>83</v>
      </c>
      <c r="AN15" s="1">
        <v>115</v>
      </c>
      <c r="AO15" s="1">
        <v>25</v>
      </c>
      <c r="AP15" s="1" t="s">
        <v>54</v>
      </c>
      <c r="AQ15" s="2">
        <v>43195</v>
      </c>
      <c r="AR15" s="3">
        <v>0.47500000000000003</v>
      </c>
      <c r="AS15" s="1">
        <v>0</v>
      </c>
      <c r="AT15" s="1" t="s">
        <v>54</v>
      </c>
      <c r="AU15" s="1" t="s">
        <v>54</v>
      </c>
      <c r="AV15" s="1">
        <v>36.059508000000001</v>
      </c>
      <c r="AW15" s="1">
        <v>78.717217000000005</v>
      </c>
    </row>
    <row r="16" spans="1:49" s="1" customFormat="1" ht="14.1" customHeight="1" x14ac:dyDescent="0.2">
      <c r="A16" s="1" t="s">
        <v>84</v>
      </c>
      <c r="B16" s="1">
        <v>1466533.7735737001</v>
      </c>
      <c r="C16" s="1">
        <v>-333774.20314539899</v>
      </c>
      <c r="D16" s="1" t="s">
        <v>82</v>
      </c>
      <c r="E16" s="1">
        <v>2375053.6585566499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9.5</v>
      </c>
      <c r="K16" s="1">
        <v>47.15</v>
      </c>
      <c r="L16" s="1" t="s">
        <v>55</v>
      </c>
      <c r="M16" s="2">
        <v>43194</v>
      </c>
      <c r="N16" s="3">
        <v>0.4777777777777778</v>
      </c>
      <c r="O16" s="4">
        <v>0.48888888888888887</v>
      </c>
      <c r="P16" s="2">
        <v>43195</v>
      </c>
      <c r="Q16" s="1">
        <v>50</v>
      </c>
      <c r="R16" s="1" t="s">
        <v>56</v>
      </c>
      <c r="S16" s="1">
        <v>4.5</v>
      </c>
      <c r="T16" s="1">
        <v>0.1</v>
      </c>
      <c r="U16" s="1">
        <v>14.56</v>
      </c>
      <c r="V16" s="1">
        <v>94.6</v>
      </c>
      <c r="W16" s="1">
        <v>9.6199999999999992</v>
      </c>
      <c r="X16" s="1">
        <v>0.14399999999999999</v>
      </c>
      <c r="Y16" s="1">
        <v>8</v>
      </c>
      <c r="Z16" s="1" t="s">
        <v>54</v>
      </c>
      <c r="AA16" s="18">
        <v>10.5</v>
      </c>
      <c r="AB16" s="1">
        <v>7.3</v>
      </c>
      <c r="AC16" s="1" t="s">
        <v>54</v>
      </c>
      <c r="AD16" s="1" t="s">
        <v>54</v>
      </c>
      <c r="AE16" s="1" t="s">
        <v>54</v>
      </c>
      <c r="AF16" s="1" t="s">
        <v>54</v>
      </c>
      <c r="AG16" s="1" t="s">
        <v>54</v>
      </c>
      <c r="AH16" s="1" t="s">
        <v>54</v>
      </c>
      <c r="AI16" s="1" t="s">
        <v>54</v>
      </c>
      <c r="AJ16" s="1" t="s">
        <v>54</v>
      </c>
      <c r="AK16" s="1" t="s">
        <v>54</v>
      </c>
      <c r="AL16" s="1" t="s">
        <v>54</v>
      </c>
      <c r="AM16" s="1" t="s">
        <v>85</v>
      </c>
      <c r="AN16" s="1">
        <v>115</v>
      </c>
      <c r="AO16" s="1">
        <v>25</v>
      </c>
      <c r="AP16" s="1" t="s">
        <v>54</v>
      </c>
      <c r="AQ16" s="2">
        <v>43195</v>
      </c>
      <c r="AR16" s="3">
        <v>0.48888888888888887</v>
      </c>
      <c r="AS16" s="1">
        <v>1</v>
      </c>
      <c r="AT16" s="1" t="s">
        <v>54</v>
      </c>
      <c r="AU16" s="1" t="s">
        <v>54</v>
      </c>
      <c r="AV16" s="1">
        <v>36.022666999999998</v>
      </c>
      <c r="AW16" s="1">
        <v>78.714630999999997</v>
      </c>
    </row>
    <row r="17" spans="1:49" s="1" customFormat="1" ht="14.1" customHeight="1" x14ac:dyDescent="0.2">
      <c r="A17" s="1" t="s">
        <v>86</v>
      </c>
      <c r="B17" s="1">
        <v>1478377.06828636</v>
      </c>
      <c r="C17" s="1">
        <v>-339448.92602312402</v>
      </c>
      <c r="D17" s="1" t="s">
        <v>59</v>
      </c>
      <c r="E17" s="1">
        <v>1714544.6322379201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6.86</v>
      </c>
      <c r="K17" s="1">
        <v>68.05</v>
      </c>
      <c r="L17" s="1" t="s">
        <v>55</v>
      </c>
      <c r="M17" s="2">
        <v>43194</v>
      </c>
      <c r="N17" s="3">
        <v>0.56944444444444442</v>
      </c>
      <c r="O17" s="3">
        <v>0.57550925925925933</v>
      </c>
      <c r="P17" s="2">
        <v>43195</v>
      </c>
      <c r="Q17" s="1">
        <v>45</v>
      </c>
      <c r="R17" s="1" t="s">
        <v>56</v>
      </c>
      <c r="Z17" s="1" t="s">
        <v>54</v>
      </c>
      <c r="AA17" s="1" t="s">
        <v>54</v>
      </c>
      <c r="AB17" s="1" t="s">
        <v>54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 t="s">
        <v>54</v>
      </c>
      <c r="AO17" s="1" t="s">
        <v>54</v>
      </c>
      <c r="AP17" s="1" t="s">
        <v>54</v>
      </c>
      <c r="AQ17" s="2">
        <v>43195</v>
      </c>
      <c r="AR17" s="3">
        <v>0.58333333333333337</v>
      </c>
      <c r="AS17" s="1">
        <v>0</v>
      </c>
      <c r="AT17" s="1" t="s">
        <v>54</v>
      </c>
      <c r="AU17" s="1" t="s">
        <v>54</v>
      </c>
      <c r="AV17" s="1">
        <v>35.956710000000001</v>
      </c>
      <c r="AW17" s="1">
        <v>78.590485999999999</v>
      </c>
    </row>
    <row r="18" spans="1:49" ht="14.1" customHeight="1" x14ac:dyDescent="0.2">
      <c r="A18" t="s">
        <v>87</v>
      </c>
      <c r="B18">
        <v>1471872.15090678</v>
      </c>
      <c r="C18">
        <v>-338986.10051671602</v>
      </c>
      <c r="D18" t="s">
        <v>50</v>
      </c>
      <c r="E18">
        <v>1539862.4160863401</v>
      </c>
      <c r="F18" t="s">
        <v>51</v>
      </c>
      <c r="G18" s="18" t="s">
        <v>88</v>
      </c>
      <c r="H18" s="18" t="s">
        <v>70</v>
      </c>
      <c r="I18" t="s">
        <v>54</v>
      </c>
      <c r="J18">
        <v>6.16</v>
      </c>
      <c r="K18">
        <v>74.88</v>
      </c>
      <c r="L18" t="s">
        <v>55</v>
      </c>
    </row>
    <row r="19" spans="1:49" ht="14.1" customHeight="1" x14ac:dyDescent="0.2">
      <c r="A19" t="s">
        <v>89</v>
      </c>
      <c r="B19">
        <v>1466003.63560483</v>
      </c>
      <c r="C19">
        <v>-327517.832149936</v>
      </c>
      <c r="D19" t="s">
        <v>82</v>
      </c>
      <c r="E19">
        <v>2375053.6585566499</v>
      </c>
      <c r="F19" t="s">
        <v>51</v>
      </c>
      <c r="G19" s="18" t="s">
        <v>88</v>
      </c>
      <c r="H19" s="18" t="s">
        <v>70</v>
      </c>
      <c r="I19" t="s">
        <v>54</v>
      </c>
      <c r="J19">
        <v>9.5</v>
      </c>
      <c r="K19">
        <v>47.15</v>
      </c>
      <c r="L19" t="s">
        <v>55</v>
      </c>
    </row>
    <row r="20" spans="1:49" ht="14.1" customHeight="1" x14ac:dyDescent="0.2">
      <c r="A20" t="s">
        <v>90</v>
      </c>
      <c r="B20">
        <v>1466635.3671118</v>
      </c>
      <c r="C20">
        <v>-336541.13084608997</v>
      </c>
      <c r="D20" t="s">
        <v>82</v>
      </c>
      <c r="E20">
        <v>2375053.6585566499</v>
      </c>
      <c r="F20" t="s">
        <v>51</v>
      </c>
      <c r="G20" s="18" t="s">
        <v>88</v>
      </c>
      <c r="H20" s="18" t="s">
        <v>70</v>
      </c>
      <c r="I20" t="s">
        <v>54</v>
      </c>
      <c r="J20">
        <v>9.5</v>
      </c>
      <c r="K20">
        <v>47.15</v>
      </c>
      <c r="L20" t="s">
        <v>55</v>
      </c>
    </row>
    <row r="21" spans="1:49" ht="14.1" customHeight="1" x14ac:dyDescent="0.2">
      <c r="A21" t="s">
        <v>91</v>
      </c>
      <c r="B21">
        <v>1464697.6796671201</v>
      </c>
      <c r="C21">
        <v>-334213.45571926102</v>
      </c>
      <c r="D21" t="s">
        <v>63</v>
      </c>
      <c r="E21">
        <v>2431945.9785411698</v>
      </c>
      <c r="F21" t="s">
        <v>51</v>
      </c>
      <c r="G21" s="18" t="s">
        <v>88</v>
      </c>
      <c r="H21" s="18" t="s">
        <v>70</v>
      </c>
      <c r="I21" t="s">
        <v>54</v>
      </c>
      <c r="J21">
        <v>9.73</v>
      </c>
      <c r="K21">
        <v>34.1</v>
      </c>
      <c r="L21" t="s">
        <v>55</v>
      </c>
    </row>
    <row r="22" spans="1:49" s="1" customFormat="1" ht="14.1" customHeight="1" x14ac:dyDescent="0.2">
      <c r="A22" s="1" t="s">
        <v>92</v>
      </c>
      <c r="B22" s="1">
        <v>1474071.4814560099</v>
      </c>
      <c r="C22" s="1">
        <v>-334051.12480065803</v>
      </c>
      <c r="D22" s="1" t="s">
        <v>50</v>
      </c>
      <c r="E22" s="1">
        <v>1539862.4160863401</v>
      </c>
      <c r="F22" s="1" t="s">
        <v>51</v>
      </c>
      <c r="G22" s="18" t="s">
        <v>88</v>
      </c>
      <c r="H22" s="18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43194</v>
      </c>
      <c r="N22" s="3">
        <v>0.52569444444444446</v>
      </c>
      <c r="O22" s="4">
        <v>0.53385416666666663</v>
      </c>
      <c r="P22" s="2">
        <v>43195</v>
      </c>
      <c r="Q22" s="1">
        <v>45</v>
      </c>
      <c r="R22" s="1" t="s">
        <v>56</v>
      </c>
      <c r="S22" s="1" t="s">
        <v>54</v>
      </c>
      <c r="T22" s="1" t="s">
        <v>54</v>
      </c>
      <c r="U22" s="1" t="s">
        <v>54</v>
      </c>
      <c r="V22" s="1" t="s">
        <v>54</v>
      </c>
      <c r="W22" s="1" t="s">
        <v>54</v>
      </c>
      <c r="X22" s="1" t="s">
        <v>54</v>
      </c>
      <c r="Y22" s="1" t="s">
        <v>54</v>
      </c>
      <c r="Z22" s="1" t="s">
        <v>54</v>
      </c>
      <c r="AA22" s="1" t="s">
        <v>54</v>
      </c>
      <c r="AB22" s="1" t="s">
        <v>54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2">
        <v>43195</v>
      </c>
      <c r="AR22" s="3">
        <v>0.53333333333333333</v>
      </c>
      <c r="AS22" s="1">
        <v>0</v>
      </c>
      <c r="AT22" s="1" t="s">
        <v>54</v>
      </c>
      <c r="AU22" s="1" t="s">
        <v>54</v>
      </c>
      <c r="AV22" s="1">
        <v>36.008828000000001</v>
      </c>
      <c r="AW22" s="1">
        <v>78.628139000000004</v>
      </c>
    </row>
    <row r="23" spans="1:49" ht="14.1" customHeight="1" x14ac:dyDescent="0.2">
      <c r="A23" t="s">
        <v>93</v>
      </c>
      <c r="B23">
        <v>1463782.19599281</v>
      </c>
      <c r="C23">
        <v>-333650.36326726701</v>
      </c>
      <c r="D23" t="s">
        <v>63</v>
      </c>
      <c r="E23">
        <v>2431945.9785411698</v>
      </c>
      <c r="F23" t="s">
        <v>51</v>
      </c>
      <c r="G23" s="18" t="s">
        <v>88</v>
      </c>
      <c r="H23" s="18" t="s">
        <v>70</v>
      </c>
      <c r="I23" t="s">
        <v>54</v>
      </c>
      <c r="J23">
        <v>9.73</v>
      </c>
      <c r="K23">
        <v>34.1</v>
      </c>
      <c r="L23" t="s">
        <v>55</v>
      </c>
    </row>
    <row r="24" spans="1:49" ht="14.1" customHeight="1" x14ac:dyDescent="0.2">
      <c r="A24" t="s">
        <v>94</v>
      </c>
      <c r="B24">
        <v>1466637.8331307599</v>
      </c>
      <c r="C24">
        <v>-333258.80687149602</v>
      </c>
      <c r="D24" t="s">
        <v>82</v>
      </c>
      <c r="E24">
        <v>2375053.6585566499</v>
      </c>
      <c r="F24" t="s">
        <v>51</v>
      </c>
      <c r="G24" s="18" t="s">
        <v>88</v>
      </c>
      <c r="H24" s="18" t="s">
        <v>70</v>
      </c>
      <c r="I24" t="s">
        <v>54</v>
      </c>
      <c r="J24">
        <v>9.5</v>
      </c>
      <c r="K24">
        <v>47.15</v>
      </c>
      <c r="L24" t="s">
        <v>55</v>
      </c>
    </row>
    <row r="25" spans="1:49" s="1" customFormat="1" ht="14.1" customHeight="1" x14ac:dyDescent="0.2">
      <c r="A25" s="1" t="s">
        <v>95</v>
      </c>
      <c r="B25" s="1">
        <v>1478871.1743478</v>
      </c>
      <c r="C25" s="1">
        <v>-341117.28595644399</v>
      </c>
      <c r="D25" s="1" t="s">
        <v>59</v>
      </c>
      <c r="E25" s="1">
        <v>1714544.6322379201</v>
      </c>
      <c r="F25" s="1" t="s">
        <v>51</v>
      </c>
      <c r="G25" s="18" t="s">
        <v>88</v>
      </c>
      <c r="H25" s="1" t="s">
        <v>53</v>
      </c>
      <c r="I25" s="1" t="s">
        <v>54</v>
      </c>
      <c r="J25" s="1">
        <v>6.86</v>
      </c>
      <c r="K25" s="1">
        <v>68.05</v>
      </c>
      <c r="L25" s="1" t="s">
        <v>55</v>
      </c>
      <c r="M25" s="2">
        <v>43194</v>
      </c>
      <c r="N25" s="3">
        <v>0.56388888888888888</v>
      </c>
      <c r="O25" s="3">
        <v>0.58371527777777776</v>
      </c>
      <c r="P25" s="2">
        <v>43195</v>
      </c>
      <c r="Q25" s="1">
        <v>45</v>
      </c>
      <c r="R25" s="1" t="s">
        <v>56</v>
      </c>
      <c r="S25" s="1" t="s">
        <v>54</v>
      </c>
      <c r="T25" s="1" t="s">
        <v>54</v>
      </c>
      <c r="U25" s="1" t="s">
        <v>54</v>
      </c>
      <c r="V25" s="1" t="s">
        <v>54</v>
      </c>
      <c r="W25" s="1" t="s">
        <v>54</v>
      </c>
      <c r="X25" s="1" t="s">
        <v>54</v>
      </c>
      <c r="Y25" s="1" t="s">
        <v>54</v>
      </c>
      <c r="Z25" s="1" t="s">
        <v>54</v>
      </c>
      <c r="AA25" s="1" t="s">
        <v>54</v>
      </c>
      <c r="AB25" s="1" t="s">
        <v>54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2">
        <v>43195</v>
      </c>
      <c r="AR25" s="3">
        <v>0.57500000000000007</v>
      </c>
      <c r="AS25" s="1">
        <v>0</v>
      </c>
      <c r="AT25" s="1" t="s">
        <v>54</v>
      </c>
      <c r="AU25" s="1" t="s">
        <v>54</v>
      </c>
      <c r="AV25" s="1">
        <v>35.942042999999998</v>
      </c>
      <c r="AW25" s="1">
        <v>78.588119000000006</v>
      </c>
    </row>
    <row r="26" spans="1:49" ht="14.1" customHeight="1" x14ac:dyDescent="0.2">
      <c r="A26" t="s">
        <v>96</v>
      </c>
      <c r="B26">
        <v>1474281.8653448599</v>
      </c>
      <c r="C26">
        <v>-338339.82420366898</v>
      </c>
      <c r="D26" t="s">
        <v>50</v>
      </c>
      <c r="E26">
        <v>1539862.4160863401</v>
      </c>
      <c r="F26" t="s">
        <v>51</v>
      </c>
      <c r="G26" s="18" t="s">
        <v>88</v>
      </c>
      <c r="H26" s="18" t="s">
        <v>70</v>
      </c>
      <c r="I26" t="s">
        <v>54</v>
      </c>
      <c r="J26">
        <v>6.16</v>
      </c>
      <c r="K26">
        <v>74.88</v>
      </c>
      <c r="L26" t="s">
        <v>55</v>
      </c>
    </row>
    <row r="27" spans="1:49" ht="14.1" customHeight="1" x14ac:dyDescent="0.2">
      <c r="A27" t="s">
        <v>97</v>
      </c>
      <c r="B27">
        <v>1476916.2227235101</v>
      </c>
      <c r="C27">
        <v>-339083.98957078002</v>
      </c>
      <c r="D27" t="s">
        <v>59</v>
      </c>
      <c r="E27">
        <v>1714544.6322379201</v>
      </c>
      <c r="F27" t="s">
        <v>51</v>
      </c>
      <c r="G27" s="18" t="s">
        <v>88</v>
      </c>
      <c r="H27" s="18" t="s">
        <v>70</v>
      </c>
      <c r="I27" t="s">
        <v>54</v>
      </c>
      <c r="J27">
        <v>6.86</v>
      </c>
      <c r="K27">
        <v>68.05</v>
      </c>
      <c r="L27" t="s">
        <v>55</v>
      </c>
    </row>
    <row r="28" spans="1:49" ht="14.1" customHeight="1" x14ac:dyDescent="0.2">
      <c r="A28" t="s">
        <v>98</v>
      </c>
      <c r="B28">
        <v>1465137.89120007</v>
      </c>
      <c r="C28">
        <v>-332813.54121366597</v>
      </c>
      <c r="D28" t="s">
        <v>63</v>
      </c>
      <c r="E28">
        <v>2431945.9785411698</v>
      </c>
      <c r="F28" t="s">
        <v>51</v>
      </c>
      <c r="G28" s="18" t="s">
        <v>88</v>
      </c>
      <c r="H28" s="18" t="s">
        <v>70</v>
      </c>
      <c r="I28" t="s">
        <v>54</v>
      </c>
      <c r="J28">
        <v>9.73</v>
      </c>
      <c r="K28">
        <v>34.1</v>
      </c>
      <c r="L28" t="s">
        <v>55</v>
      </c>
    </row>
    <row r="29" spans="1:49" ht="14.1" customHeight="1" x14ac:dyDescent="0.2">
      <c r="A29" t="s">
        <v>99</v>
      </c>
      <c r="B29">
        <v>1466082.2033639599</v>
      </c>
      <c r="C29">
        <v>-334522.11946422898</v>
      </c>
      <c r="D29" t="s">
        <v>63</v>
      </c>
      <c r="E29">
        <v>2431945.9785411698</v>
      </c>
      <c r="F29" t="s">
        <v>51</v>
      </c>
      <c r="G29" s="18" t="s">
        <v>88</v>
      </c>
      <c r="H29" s="18" t="s">
        <v>70</v>
      </c>
      <c r="I29" t="s">
        <v>54</v>
      </c>
      <c r="J29">
        <v>9.73</v>
      </c>
      <c r="K29">
        <v>34.1</v>
      </c>
      <c r="L29" t="s">
        <v>55</v>
      </c>
    </row>
    <row r="30" spans="1:49" ht="14.1" customHeight="1" x14ac:dyDescent="0.2">
      <c r="A30" t="s">
        <v>100</v>
      </c>
      <c r="B30">
        <v>1472727.8701414301</v>
      </c>
      <c r="C30">
        <v>-335939.681733031</v>
      </c>
      <c r="D30" t="s">
        <v>50</v>
      </c>
      <c r="E30">
        <v>1539862.4160863401</v>
      </c>
      <c r="F30" t="s">
        <v>51</v>
      </c>
      <c r="G30" s="18" t="s">
        <v>88</v>
      </c>
      <c r="H30" s="18" t="s">
        <v>70</v>
      </c>
      <c r="I30" t="s">
        <v>54</v>
      </c>
      <c r="J30">
        <v>6.16</v>
      </c>
      <c r="K30">
        <v>74.88</v>
      </c>
      <c r="L30" t="s">
        <v>55</v>
      </c>
    </row>
    <row r="31" spans="1:49" ht="14.1" customHeight="1" x14ac:dyDescent="0.2">
      <c r="A31" t="s">
        <v>101</v>
      </c>
      <c r="B31">
        <v>1465276.0265150401</v>
      </c>
      <c r="C31">
        <v>-330959.58049092599</v>
      </c>
      <c r="D31" t="s">
        <v>82</v>
      </c>
      <c r="E31">
        <v>2375053.6585566499</v>
      </c>
      <c r="F31" t="s">
        <v>51</v>
      </c>
      <c r="G31" s="18" t="s">
        <v>88</v>
      </c>
      <c r="H31" s="18" t="s">
        <v>70</v>
      </c>
      <c r="I31" t="s">
        <v>54</v>
      </c>
      <c r="J31">
        <v>9.5</v>
      </c>
      <c r="K31">
        <v>47.15</v>
      </c>
      <c r="L31" t="s">
        <v>55</v>
      </c>
    </row>
    <row r="32" spans="1:49" ht="14.1" customHeight="1" x14ac:dyDescent="0.2">
      <c r="A32" t="s">
        <v>102</v>
      </c>
      <c r="B32">
        <v>1466262.3207775</v>
      </c>
      <c r="C32">
        <v>-331948.785246054</v>
      </c>
      <c r="D32" t="s">
        <v>82</v>
      </c>
      <c r="E32">
        <v>2375053.6585566499</v>
      </c>
      <c r="F32" t="s">
        <v>51</v>
      </c>
      <c r="G32" s="18" t="s">
        <v>88</v>
      </c>
      <c r="H32" s="18" t="s">
        <v>70</v>
      </c>
      <c r="I32" t="s">
        <v>54</v>
      </c>
      <c r="J32">
        <v>9.5</v>
      </c>
      <c r="K32">
        <v>47.15</v>
      </c>
      <c r="L32" t="s">
        <v>55</v>
      </c>
    </row>
    <row r="33" spans="1:49" ht="14.1" customHeight="1" x14ac:dyDescent="0.2">
      <c r="A33" t="s">
        <v>103</v>
      </c>
      <c r="B33">
        <v>1478287.1369645</v>
      </c>
      <c r="C33">
        <v>-341378.166103222</v>
      </c>
      <c r="D33" t="s">
        <v>59</v>
      </c>
      <c r="E33">
        <v>1714544.6322379201</v>
      </c>
      <c r="F33" t="s">
        <v>51</v>
      </c>
      <c r="G33" s="18" t="s">
        <v>88</v>
      </c>
      <c r="H33" s="18" t="s">
        <v>70</v>
      </c>
      <c r="I33" t="s">
        <v>54</v>
      </c>
      <c r="J33">
        <v>6.86</v>
      </c>
      <c r="K33">
        <v>68.05</v>
      </c>
      <c r="L33" t="s">
        <v>55</v>
      </c>
    </row>
    <row r="34" spans="1:49" ht="14.1" customHeight="1" x14ac:dyDescent="0.2">
      <c r="A34" t="s">
        <v>104</v>
      </c>
      <c r="B34">
        <v>1472911.3665700001</v>
      </c>
      <c r="C34">
        <v>-336658.87139683502</v>
      </c>
      <c r="D34" t="s">
        <v>50</v>
      </c>
      <c r="E34">
        <v>1539862.4160863401</v>
      </c>
      <c r="F34" t="s">
        <v>51</v>
      </c>
      <c r="G34" s="18" t="s">
        <v>88</v>
      </c>
      <c r="H34" s="18" t="s">
        <v>70</v>
      </c>
      <c r="I34" t="s">
        <v>54</v>
      </c>
      <c r="J34">
        <v>6.16</v>
      </c>
      <c r="K34">
        <v>74.88</v>
      </c>
      <c r="L34" t="s">
        <v>55</v>
      </c>
    </row>
    <row r="35" spans="1:49" ht="14.1" customHeight="1" x14ac:dyDescent="0.2">
      <c r="A35" t="s">
        <v>105</v>
      </c>
      <c r="B35">
        <v>1463664.8937470401</v>
      </c>
      <c r="C35">
        <v>-333193.57717041299</v>
      </c>
      <c r="D35" t="s">
        <v>63</v>
      </c>
      <c r="E35">
        <v>2431945.9785411698</v>
      </c>
      <c r="F35" t="s">
        <v>51</v>
      </c>
      <c r="G35" s="18" t="s">
        <v>88</v>
      </c>
      <c r="H35" s="18" t="s">
        <v>70</v>
      </c>
      <c r="I35" t="s">
        <v>54</v>
      </c>
      <c r="J35">
        <v>9.73</v>
      </c>
      <c r="K35">
        <v>34.1</v>
      </c>
      <c r="L35" t="s">
        <v>55</v>
      </c>
    </row>
    <row r="36" spans="1:49" ht="14.1" customHeight="1" x14ac:dyDescent="0.2">
      <c r="A36" t="s">
        <v>106</v>
      </c>
      <c r="B36">
        <v>1467854.79790562</v>
      </c>
      <c r="C36">
        <v>-335042.413950874</v>
      </c>
      <c r="D36" t="s">
        <v>82</v>
      </c>
      <c r="E36">
        <v>2375053.6585566499</v>
      </c>
      <c r="F36" t="s">
        <v>51</v>
      </c>
      <c r="G36" s="18" t="s">
        <v>88</v>
      </c>
      <c r="H36" s="18" t="s">
        <v>70</v>
      </c>
      <c r="I36" t="s">
        <v>54</v>
      </c>
      <c r="J36">
        <v>9.5</v>
      </c>
      <c r="K36">
        <v>47.15</v>
      </c>
      <c r="L36" t="s">
        <v>55</v>
      </c>
    </row>
    <row r="37" spans="1:49" ht="14.1" customHeight="1" x14ac:dyDescent="0.2">
      <c r="A37" t="s">
        <v>107</v>
      </c>
      <c r="B37">
        <v>1471524.54522541</v>
      </c>
      <c r="C37">
        <v>-339700.88509588502</v>
      </c>
      <c r="D37" t="s">
        <v>50</v>
      </c>
      <c r="E37">
        <v>1539862.4160863401</v>
      </c>
      <c r="F37" t="s">
        <v>51</v>
      </c>
      <c r="G37" s="18" t="s">
        <v>88</v>
      </c>
      <c r="H37" s="18" t="s">
        <v>70</v>
      </c>
      <c r="I37" t="s">
        <v>54</v>
      </c>
      <c r="J37">
        <v>6.16</v>
      </c>
      <c r="K37">
        <v>74.88</v>
      </c>
      <c r="L37" t="s">
        <v>55</v>
      </c>
    </row>
    <row r="38" spans="1:49" ht="14.1" customHeight="1" x14ac:dyDescent="0.2">
      <c r="A38" t="s">
        <v>108</v>
      </c>
      <c r="B38">
        <v>1477487.22809228</v>
      </c>
      <c r="C38">
        <v>-339016.18368315202</v>
      </c>
      <c r="D38" t="s">
        <v>59</v>
      </c>
      <c r="E38">
        <v>1714544.6322379201</v>
      </c>
      <c r="F38" t="s">
        <v>51</v>
      </c>
      <c r="G38" s="18" t="s">
        <v>88</v>
      </c>
      <c r="H38" s="18" t="s">
        <v>70</v>
      </c>
      <c r="I38" t="s">
        <v>54</v>
      </c>
      <c r="J38">
        <v>6.86</v>
      </c>
      <c r="K38">
        <v>68.05</v>
      </c>
      <c r="L38" t="s">
        <v>55</v>
      </c>
    </row>
    <row r="39" spans="1:49" ht="14.1" customHeight="1" x14ac:dyDescent="0.2">
      <c r="A39" t="s">
        <v>109</v>
      </c>
      <c r="B39">
        <v>1466057.13582497</v>
      </c>
      <c r="C39">
        <v>-333244.42384980997</v>
      </c>
      <c r="D39" t="s">
        <v>82</v>
      </c>
      <c r="E39">
        <v>2375053.6585566499</v>
      </c>
      <c r="F39" t="s">
        <v>51</v>
      </c>
      <c r="G39" s="18" t="s">
        <v>88</v>
      </c>
      <c r="H39" s="18" t="s">
        <v>70</v>
      </c>
      <c r="I39" t="s">
        <v>54</v>
      </c>
      <c r="J39">
        <v>9.5</v>
      </c>
      <c r="K39">
        <v>47.15</v>
      </c>
      <c r="L39" t="s">
        <v>55</v>
      </c>
    </row>
    <row r="40" spans="1:49" ht="14.1" customHeight="1" x14ac:dyDescent="0.2">
      <c r="A40" t="s">
        <v>110</v>
      </c>
      <c r="B40">
        <v>1469065.2243494701</v>
      </c>
      <c r="C40">
        <v>-333787.93404601701</v>
      </c>
      <c r="D40" t="s">
        <v>82</v>
      </c>
      <c r="E40">
        <v>2375053.6585566499</v>
      </c>
      <c r="F40" t="s">
        <v>51</v>
      </c>
      <c r="G40" s="18" t="s">
        <v>88</v>
      </c>
      <c r="H40" s="18" t="s">
        <v>70</v>
      </c>
      <c r="I40" t="s">
        <v>54</v>
      </c>
      <c r="J40">
        <v>9.5</v>
      </c>
      <c r="K40">
        <v>47.15</v>
      </c>
      <c r="L40" t="s">
        <v>55</v>
      </c>
    </row>
    <row r="41" spans="1:49" ht="14.1" customHeight="1" x14ac:dyDescent="0.2">
      <c r="A41" t="s">
        <v>111</v>
      </c>
      <c r="B41">
        <v>1479079.03355369</v>
      </c>
      <c r="C41">
        <v>-339736.42960239702</v>
      </c>
      <c r="D41" t="s">
        <v>59</v>
      </c>
      <c r="E41">
        <v>1714544.6322379201</v>
      </c>
      <c r="F41" t="s">
        <v>51</v>
      </c>
      <c r="G41" s="18" t="s">
        <v>88</v>
      </c>
      <c r="H41" s="18" t="s">
        <v>70</v>
      </c>
      <c r="I41" t="s">
        <v>54</v>
      </c>
      <c r="J41">
        <v>6.86</v>
      </c>
      <c r="K41">
        <v>68.05</v>
      </c>
      <c r="L41" t="s">
        <v>55</v>
      </c>
    </row>
    <row r="42" spans="1:49" s="1" customFormat="1" ht="14.1" customHeight="1" x14ac:dyDescent="0.2">
      <c r="A42" s="1" t="s">
        <v>112</v>
      </c>
      <c r="B42" s="1">
        <v>1462146.11370152</v>
      </c>
      <c r="C42" s="1">
        <v>-330706.01100161002</v>
      </c>
      <c r="D42" s="1" t="s">
        <v>113</v>
      </c>
      <c r="E42" s="1">
        <v>646115.10381286498</v>
      </c>
      <c r="F42" s="1" t="s">
        <v>113</v>
      </c>
      <c r="G42" s="1" t="s">
        <v>52</v>
      </c>
      <c r="H42" s="18" t="s">
        <v>53</v>
      </c>
      <c r="I42" s="1" t="s">
        <v>54</v>
      </c>
      <c r="J42" s="1">
        <v>9.0500000000000007</v>
      </c>
      <c r="K42" s="1">
        <v>33.96</v>
      </c>
      <c r="L42" s="1" t="s">
        <v>55</v>
      </c>
      <c r="M42" s="2">
        <v>43194</v>
      </c>
      <c r="N42" s="3">
        <v>0.41666666666666669</v>
      </c>
      <c r="O42" s="4">
        <v>0.41197916666666662</v>
      </c>
      <c r="P42" s="2">
        <v>43195</v>
      </c>
      <c r="Q42" s="1">
        <v>50</v>
      </c>
      <c r="R42" s="1" t="s">
        <v>56</v>
      </c>
      <c r="S42" s="1">
        <v>1</v>
      </c>
      <c r="T42" s="1">
        <v>0.1</v>
      </c>
      <c r="U42" s="1">
        <v>16.64</v>
      </c>
      <c r="V42" s="1">
        <v>97.3</v>
      </c>
      <c r="W42" s="1">
        <v>9.4600000000000009</v>
      </c>
      <c r="X42" s="1">
        <v>0.112</v>
      </c>
      <c r="Y42" s="1">
        <v>8.15</v>
      </c>
      <c r="Z42" s="1" t="s">
        <v>54</v>
      </c>
      <c r="AA42" s="1">
        <v>30.3</v>
      </c>
      <c r="AB42" s="1">
        <v>11.1</v>
      </c>
      <c r="AC42" s="1" t="s">
        <v>54</v>
      </c>
      <c r="AD42" s="1" t="s">
        <v>54</v>
      </c>
      <c r="AE42" s="1" t="s">
        <v>54</v>
      </c>
      <c r="AF42" s="1" t="s">
        <v>54</v>
      </c>
      <c r="AG42" s="1" t="s">
        <v>54</v>
      </c>
      <c r="AH42" s="1" t="s">
        <v>54</v>
      </c>
      <c r="AI42" s="1" t="s">
        <v>54</v>
      </c>
      <c r="AJ42" s="1" t="s">
        <v>54</v>
      </c>
      <c r="AK42" s="1" t="s">
        <v>54</v>
      </c>
      <c r="AL42" s="1" t="s">
        <v>114</v>
      </c>
      <c r="AM42" s="1" t="s">
        <v>115</v>
      </c>
      <c r="AN42" s="1">
        <v>115</v>
      </c>
      <c r="AO42" s="1">
        <v>25</v>
      </c>
      <c r="AP42" s="1">
        <v>760.9</v>
      </c>
      <c r="AQ42" s="2">
        <v>43195</v>
      </c>
      <c r="AR42" s="3">
        <v>0.41180555555555554</v>
      </c>
      <c r="AS42" s="1">
        <v>2</v>
      </c>
      <c r="AT42" s="1" t="s">
        <v>54</v>
      </c>
      <c r="AU42" s="1" t="s">
        <v>54</v>
      </c>
      <c r="AV42" s="1">
        <v>36.055712</v>
      </c>
      <c r="AW42" s="1">
        <v>78.758627000000004</v>
      </c>
    </row>
    <row r="43" spans="1:49" s="1" customFormat="1" ht="14.1" customHeight="1" x14ac:dyDescent="0.2">
      <c r="A43" s="1" t="s">
        <v>116</v>
      </c>
      <c r="B43" s="1">
        <v>1458883.2490767699</v>
      </c>
      <c r="C43" s="1">
        <v>-330137.92613326397</v>
      </c>
      <c r="D43" s="1" t="s">
        <v>113</v>
      </c>
      <c r="E43" s="1">
        <v>646115.10381286498</v>
      </c>
      <c r="F43" s="1" t="s">
        <v>113</v>
      </c>
      <c r="G43" s="1" t="s">
        <v>52</v>
      </c>
      <c r="H43" s="1" t="s">
        <v>53</v>
      </c>
      <c r="I43" s="1" t="s">
        <v>54</v>
      </c>
      <c r="J43" s="1">
        <v>9.0500000000000007</v>
      </c>
      <c r="K43" s="1">
        <v>33.96</v>
      </c>
      <c r="L43" s="1" t="s">
        <v>55</v>
      </c>
      <c r="M43" s="2">
        <v>43194</v>
      </c>
      <c r="N43" s="3">
        <v>0.35972222222222222</v>
      </c>
      <c r="O43" s="3">
        <v>0.35059027777777779</v>
      </c>
      <c r="P43" s="2">
        <v>43195</v>
      </c>
      <c r="Q43" s="1">
        <v>50</v>
      </c>
      <c r="R43" s="1" t="s">
        <v>56</v>
      </c>
      <c r="S43" s="1">
        <v>1.3</v>
      </c>
      <c r="T43" s="1">
        <v>0.1</v>
      </c>
      <c r="U43" s="1">
        <v>16.61</v>
      </c>
      <c r="V43" s="1">
        <v>97.3</v>
      </c>
      <c r="W43" s="1">
        <v>9.5</v>
      </c>
      <c r="X43" s="1">
        <v>0.16</v>
      </c>
      <c r="Y43" s="1">
        <v>8.7899999999999991</v>
      </c>
      <c r="Z43" s="1" t="s">
        <v>54</v>
      </c>
      <c r="AA43" s="1">
        <v>35</v>
      </c>
      <c r="AB43" s="1">
        <v>12.6</v>
      </c>
      <c r="AC43" s="1" t="s">
        <v>54</v>
      </c>
      <c r="AD43" s="1" t="s">
        <v>54</v>
      </c>
      <c r="AE43" s="1" t="s">
        <v>54</v>
      </c>
      <c r="AF43" s="1" t="s">
        <v>54</v>
      </c>
      <c r="AG43" s="1" t="s">
        <v>54</v>
      </c>
      <c r="AH43" s="1" t="s">
        <v>54</v>
      </c>
      <c r="AI43" s="1" t="s">
        <v>54</v>
      </c>
      <c r="AJ43" s="1" t="s">
        <v>54</v>
      </c>
      <c r="AK43" s="1" t="s">
        <v>54</v>
      </c>
      <c r="AL43" s="1" t="s">
        <v>54</v>
      </c>
      <c r="AM43" s="1" t="s">
        <v>117</v>
      </c>
      <c r="AN43" s="1">
        <v>115</v>
      </c>
      <c r="AO43" s="1">
        <v>25</v>
      </c>
      <c r="AP43" s="1" t="s">
        <v>54</v>
      </c>
      <c r="AQ43" s="2">
        <v>43195</v>
      </c>
      <c r="AR43" s="3">
        <v>0.35069444444444442</v>
      </c>
      <c r="AS43" s="1">
        <v>1</v>
      </c>
      <c r="AT43" s="1" t="s">
        <v>54</v>
      </c>
      <c r="AU43" s="1" t="s">
        <v>54</v>
      </c>
      <c r="AV43" s="1">
        <v>36.065337</v>
      </c>
      <c r="AW43" s="1">
        <v>78.795152000000002</v>
      </c>
    </row>
    <row r="44" spans="1:49" s="1" customFormat="1" ht="14.1" customHeight="1" x14ac:dyDescent="0.2">
      <c r="A44" s="1" t="s">
        <v>118</v>
      </c>
      <c r="B44" s="1">
        <v>1460807.26953561</v>
      </c>
      <c r="C44" s="1">
        <v>-330217.48017225403</v>
      </c>
      <c r="D44" s="1" t="s">
        <v>113</v>
      </c>
      <c r="E44" s="1">
        <v>646115.10381286498</v>
      </c>
      <c r="F44" s="1" t="s">
        <v>113</v>
      </c>
      <c r="G44" s="1" t="s">
        <v>52</v>
      </c>
      <c r="H44" s="1" t="s">
        <v>53</v>
      </c>
      <c r="I44" s="1" t="s">
        <v>54</v>
      </c>
      <c r="J44" s="1">
        <v>9.0500000000000007</v>
      </c>
      <c r="K44" s="1">
        <v>33.96</v>
      </c>
      <c r="L44" s="1" t="s">
        <v>55</v>
      </c>
      <c r="M44" s="2">
        <v>43194</v>
      </c>
      <c r="N44" s="3">
        <v>0.39999999999999997</v>
      </c>
      <c r="O44" s="3">
        <v>0.39460648148148153</v>
      </c>
      <c r="P44" s="2">
        <v>43195</v>
      </c>
      <c r="Q44" s="1">
        <v>50</v>
      </c>
      <c r="R44" s="1" t="s">
        <v>56</v>
      </c>
      <c r="S44" s="18">
        <v>1.9</v>
      </c>
      <c r="T44" s="18">
        <v>0.1</v>
      </c>
      <c r="U44" s="1">
        <v>16.559999999999999</v>
      </c>
      <c r="V44" s="1">
        <v>98</v>
      </c>
      <c r="W44" s="1">
        <v>9.57</v>
      </c>
      <c r="X44" s="1">
        <v>0.115</v>
      </c>
      <c r="Y44" s="1">
        <v>8.19</v>
      </c>
      <c r="Z44" s="1" t="s">
        <v>54</v>
      </c>
      <c r="AA44" s="1">
        <v>38.1</v>
      </c>
      <c r="AB44" s="1">
        <v>10</v>
      </c>
      <c r="AC44" s="1" t="s">
        <v>54</v>
      </c>
      <c r="AD44" s="1" t="s">
        <v>54</v>
      </c>
      <c r="AE44" s="1" t="s">
        <v>54</v>
      </c>
      <c r="AF44" s="1" t="s">
        <v>54</v>
      </c>
      <c r="AG44" s="1" t="s">
        <v>54</v>
      </c>
      <c r="AH44" s="1" t="s">
        <v>54</v>
      </c>
      <c r="AI44" s="1" t="s">
        <v>54</v>
      </c>
      <c r="AJ44" s="1" t="s">
        <v>54</v>
      </c>
      <c r="AK44" s="1" t="s">
        <v>54</v>
      </c>
      <c r="AL44" s="1" t="s">
        <v>54</v>
      </c>
      <c r="AM44" s="1" t="s">
        <v>119</v>
      </c>
      <c r="AN44" s="1">
        <v>115</v>
      </c>
      <c r="AO44" s="1">
        <v>25</v>
      </c>
      <c r="AP44" s="1" t="s">
        <v>54</v>
      </c>
      <c r="AQ44" s="2">
        <v>43195</v>
      </c>
      <c r="AR44" s="3">
        <v>0.39444444444444443</v>
      </c>
      <c r="AS44" s="1">
        <v>2</v>
      </c>
      <c r="AT44" s="1" t="s">
        <v>54</v>
      </c>
      <c r="AU44" s="1" t="s">
        <v>54</v>
      </c>
      <c r="AV44" s="1">
        <v>36.061512</v>
      </c>
      <c r="AW44" s="1">
        <v>78.773296999999999</v>
      </c>
    </row>
    <row r="45" spans="1:49" s="1" customFormat="1" ht="14.1" customHeight="1" x14ac:dyDescent="0.2">
      <c r="A45" s="1" t="s">
        <v>120</v>
      </c>
      <c r="B45" s="1">
        <v>1460043.0494104601</v>
      </c>
      <c r="C45" s="1">
        <v>-329004.359972545</v>
      </c>
      <c r="D45" s="1" t="s">
        <v>113</v>
      </c>
      <c r="E45" s="1">
        <v>646115.10381286498</v>
      </c>
      <c r="F45" s="1" t="s">
        <v>113</v>
      </c>
      <c r="G45" s="1" t="s">
        <v>52</v>
      </c>
      <c r="H45" s="1" t="s">
        <v>53</v>
      </c>
      <c r="I45" s="1" t="s">
        <v>54</v>
      </c>
      <c r="J45" s="1">
        <v>9.0500000000000007</v>
      </c>
      <c r="K45" s="1">
        <v>33.96</v>
      </c>
      <c r="L45" s="1" t="s">
        <v>55</v>
      </c>
      <c r="M45" s="2">
        <v>43194</v>
      </c>
      <c r="N45" s="3">
        <v>0.375</v>
      </c>
      <c r="O45" s="3">
        <v>0.36724537037037036</v>
      </c>
      <c r="P45" s="2">
        <v>43195</v>
      </c>
      <c r="Q45" s="1">
        <v>50</v>
      </c>
      <c r="R45" s="1" t="s">
        <v>56</v>
      </c>
      <c r="S45" s="1">
        <v>1.3</v>
      </c>
      <c r="T45" s="1">
        <v>0.1</v>
      </c>
      <c r="U45" s="1">
        <v>16.66</v>
      </c>
      <c r="V45" s="1">
        <v>96.4</v>
      </c>
      <c r="W45" s="1">
        <v>9.3699999999999992</v>
      </c>
      <c r="X45" s="1">
        <v>0.11700000000000001</v>
      </c>
      <c r="Y45" s="1">
        <v>8.7100000000000009</v>
      </c>
      <c r="Z45" s="1" t="s">
        <v>54</v>
      </c>
      <c r="AA45" s="1">
        <v>44.8</v>
      </c>
      <c r="AB45" s="1">
        <v>12</v>
      </c>
      <c r="AC45" s="1" t="s">
        <v>54</v>
      </c>
      <c r="AD45" s="1" t="s">
        <v>54</v>
      </c>
      <c r="AE45" s="1" t="s">
        <v>54</v>
      </c>
      <c r="AF45" s="1" t="s">
        <v>54</v>
      </c>
      <c r="AG45" s="1" t="s">
        <v>54</v>
      </c>
      <c r="AH45" s="1" t="s">
        <v>54</v>
      </c>
      <c r="AI45" s="1" t="s">
        <v>54</v>
      </c>
      <c r="AJ45" s="1" t="s">
        <v>54</v>
      </c>
      <c r="AK45" s="1" t="s">
        <v>54</v>
      </c>
      <c r="AL45" s="1" t="s">
        <v>54</v>
      </c>
      <c r="AM45" s="1" t="s">
        <v>121</v>
      </c>
      <c r="AN45" s="1">
        <v>115</v>
      </c>
      <c r="AO45" s="1">
        <v>25</v>
      </c>
      <c r="AP45" s="1" t="s">
        <v>54</v>
      </c>
      <c r="AQ45" s="2">
        <v>43195</v>
      </c>
      <c r="AR45" s="3" t="s">
        <v>54</v>
      </c>
      <c r="AS45" s="1" t="s">
        <v>54</v>
      </c>
      <c r="AT45" s="1" t="s">
        <v>122</v>
      </c>
      <c r="AU45" s="18" t="s">
        <v>122</v>
      </c>
      <c r="AV45" s="1">
        <v>36.072960000000002</v>
      </c>
      <c r="AW45" s="1">
        <v>78.779268999999999</v>
      </c>
    </row>
    <row r="46" spans="1:49" s="1" customFormat="1" ht="14.1" customHeight="1" x14ac:dyDescent="0.2">
      <c r="A46" s="1" t="s">
        <v>123</v>
      </c>
      <c r="B46" s="1">
        <v>1462432.3630963599</v>
      </c>
      <c r="C46" s="1">
        <v>-331996.43858091702</v>
      </c>
      <c r="D46" s="1" t="s">
        <v>113</v>
      </c>
      <c r="E46" s="1">
        <v>646115.10381286498</v>
      </c>
      <c r="F46" s="1" t="s">
        <v>113</v>
      </c>
      <c r="G46" s="1" t="s">
        <v>52</v>
      </c>
      <c r="H46" s="1" t="s">
        <v>53</v>
      </c>
      <c r="I46" s="1" t="s">
        <v>54</v>
      </c>
      <c r="J46" s="1">
        <v>9.0500000000000007</v>
      </c>
      <c r="K46" s="1">
        <v>33.96</v>
      </c>
      <c r="L46" s="1" t="s">
        <v>55</v>
      </c>
      <c r="M46" s="2">
        <v>43194</v>
      </c>
      <c r="N46" s="3">
        <v>0.43541666666666662</v>
      </c>
      <c r="O46" s="4">
        <v>0.43767361111111108</v>
      </c>
      <c r="P46" s="2">
        <v>43195</v>
      </c>
      <c r="Q46" s="1">
        <v>45</v>
      </c>
      <c r="R46" s="1" t="s">
        <v>56</v>
      </c>
      <c r="S46" s="1">
        <v>2.6</v>
      </c>
      <c r="T46" s="1">
        <v>0.1</v>
      </c>
      <c r="U46" s="18">
        <v>16.649999999999999</v>
      </c>
      <c r="V46" s="1">
        <v>99.2</v>
      </c>
      <c r="W46" s="1">
        <v>9.6199999999999992</v>
      </c>
      <c r="X46" s="1">
        <v>0.113</v>
      </c>
      <c r="Y46" s="1">
        <v>8.08</v>
      </c>
      <c r="Z46" s="1" t="s">
        <v>54</v>
      </c>
      <c r="AA46" s="1">
        <v>18.8</v>
      </c>
      <c r="AB46" s="1">
        <v>8.1</v>
      </c>
      <c r="AC46" s="1" t="s">
        <v>54</v>
      </c>
      <c r="AD46" s="1" t="s">
        <v>54</v>
      </c>
      <c r="AE46" s="1" t="s">
        <v>54</v>
      </c>
      <c r="AF46" s="1" t="s">
        <v>54</v>
      </c>
      <c r="AG46" s="1" t="s">
        <v>54</v>
      </c>
      <c r="AH46" s="1" t="s">
        <v>54</v>
      </c>
      <c r="AI46" s="1" t="s">
        <v>54</v>
      </c>
      <c r="AJ46" s="1" t="s">
        <v>54</v>
      </c>
      <c r="AK46" s="1" t="s">
        <v>54</v>
      </c>
      <c r="AL46" s="1" t="s">
        <v>54</v>
      </c>
      <c r="AM46" s="1" t="s">
        <v>54</v>
      </c>
      <c r="AN46" s="1" t="s">
        <v>54</v>
      </c>
      <c r="AO46" s="1" t="s">
        <v>54</v>
      </c>
      <c r="AP46" s="1" t="s">
        <v>54</v>
      </c>
      <c r="AQ46" s="2">
        <v>43195</v>
      </c>
      <c r="AR46" s="3">
        <v>0.4375</v>
      </c>
      <c r="AS46" s="1">
        <v>6</v>
      </c>
      <c r="AT46" s="1" t="s">
        <v>54</v>
      </c>
      <c r="AU46" s="1" t="s">
        <v>54</v>
      </c>
      <c r="AV46" s="1">
        <v>36.044074999999999</v>
      </c>
      <c r="AW46" s="1">
        <v>78.758206999999999</v>
      </c>
    </row>
    <row r="47" spans="1:49" ht="14.1" customHeight="1" x14ac:dyDescent="0.2">
      <c r="A47" t="s">
        <v>124</v>
      </c>
      <c r="B47">
        <v>1460419.5007144799</v>
      </c>
      <c r="C47">
        <v>-329793.659151414</v>
      </c>
      <c r="D47" t="s">
        <v>113</v>
      </c>
      <c r="E47">
        <v>646115.10381286498</v>
      </c>
      <c r="F47" t="s">
        <v>113</v>
      </c>
      <c r="G47" t="s">
        <v>52</v>
      </c>
      <c r="H47" s="18" t="s">
        <v>70</v>
      </c>
      <c r="I47" t="s">
        <v>54</v>
      </c>
      <c r="J47">
        <v>9.0500000000000007</v>
      </c>
      <c r="K47">
        <v>33.96</v>
      </c>
      <c r="L47" t="s">
        <v>55</v>
      </c>
    </row>
    <row r="48" spans="1:49" s="1" customFormat="1" ht="14.1" customHeight="1" x14ac:dyDescent="0.2">
      <c r="A48" s="1" t="s">
        <v>125</v>
      </c>
      <c r="B48" s="1">
        <v>1461044.0071888999</v>
      </c>
      <c r="C48" s="1">
        <v>-329355.06882734102</v>
      </c>
      <c r="D48" s="1" t="s">
        <v>113</v>
      </c>
      <c r="E48" s="1">
        <v>646115.10381286498</v>
      </c>
      <c r="F48" s="1" t="s">
        <v>113</v>
      </c>
      <c r="G48" s="1" t="s">
        <v>52</v>
      </c>
      <c r="H48" s="1" t="s">
        <v>53</v>
      </c>
      <c r="I48" s="1" t="s">
        <v>54</v>
      </c>
      <c r="J48" s="1">
        <v>9.0500000000000007</v>
      </c>
      <c r="K48" s="1">
        <v>33.96</v>
      </c>
      <c r="L48" s="1" t="s">
        <v>55</v>
      </c>
      <c r="M48" s="2">
        <v>43194</v>
      </c>
      <c r="N48" s="3">
        <v>0.39513888888888887</v>
      </c>
      <c r="O48" s="3">
        <v>0.38778935185185182</v>
      </c>
      <c r="P48" s="2">
        <v>43195</v>
      </c>
      <c r="Q48" s="1">
        <v>50</v>
      </c>
      <c r="R48" s="1" t="s">
        <v>56</v>
      </c>
      <c r="S48" s="1">
        <v>2.4</v>
      </c>
      <c r="T48" s="1">
        <v>0.1</v>
      </c>
      <c r="U48" s="1">
        <v>16.39</v>
      </c>
      <c r="V48" s="1">
        <v>93.5</v>
      </c>
      <c r="W48" s="1">
        <v>9.16</v>
      </c>
      <c r="X48" s="1">
        <v>0.11799999999999999</v>
      </c>
      <c r="Y48" s="1">
        <v>8.31</v>
      </c>
      <c r="Z48" s="1" t="s">
        <v>54</v>
      </c>
      <c r="AA48" s="1">
        <v>36.700000000000003</v>
      </c>
      <c r="AB48" s="1">
        <v>9.5</v>
      </c>
      <c r="AC48" s="1" t="s">
        <v>54</v>
      </c>
      <c r="AD48" s="1" t="s">
        <v>54</v>
      </c>
      <c r="AE48" s="1" t="s">
        <v>54</v>
      </c>
      <c r="AF48" s="1" t="s">
        <v>54</v>
      </c>
      <c r="AG48" s="1" t="s">
        <v>54</v>
      </c>
      <c r="AH48" s="1" t="s">
        <v>54</v>
      </c>
      <c r="AI48" s="1" t="s">
        <v>54</v>
      </c>
      <c r="AJ48" s="1" t="s">
        <v>54</v>
      </c>
      <c r="AK48" s="1" t="s">
        <v>54</v>
      </c>
      <c r="AL48" s="1" t="s">
        <v>54</v>
      </c>
      <c r="AM48" s="1" t="s">
        <v>54</v>
      </c>
      <c r="AN48" s="1" t="s">
        <v>54</v>
      </c>
      <c r="AO48" s="1" t="s">
        <v>54</v>
      </c>
      <c r="AP48" s="1" t="s">
        <v>54</v>
      </c>
      <c r="AQ48" s="2">
        <v>43195</v>
      </c>
      <c r="AR48" s="3">
        <v>0.38750000000000001</v>
      </c>
      <c r="AS48" s="1">
        <v>0</v>
      </c>
      <c r="AT48" s="1" t="s">
        <v>54</v>
      </c>
      <c r="AU48" s="1" t="s">
        <v>54</v>
      </c>
      <c r="AV48" s="1">
        <v>36.068556999999998</v>
      </c>
      <c r="AW48" s="1">
        <v>78.768534000000002</v>
      </c>
    </row>
    <row r="49" spans="1:49" ht="14.1" customHeight="1" x14ac:dyDescent="0.2">
      <c r="A49" t="s">
        <v>126</v>
      </c>
      <c r="B49">
        <v>1459214.3085318899</v>
      </c>
      <c r="C49">
        <v>-329057.14778433798</v>
      </c>
      <c r="D49" t="s">
        <v>113</v>
      </c>
      <c r="E49">
        <v>646115.10381286498</v>
      </c>
      <c r="F49" t="s">
        <v>113</v>
      </c>
      <c r="G49" t="s">
        <v>52</v>
      </c>
      <c r="H49" s="18" t="s">
        <v>70</v>
      </c>
      <c r="I49" t="s">
        <v>54</v>
      </c>
      <c r="J49">
        <v>9.0500000000000007</v>
      </c>
      <c r="K49">
        <v>33.96</v>
      </c>
      <c r="L49" t="s">
        <v>55</v>
      </c>
    </row>
    <row r="50" spans="1:49" s="1" customFormat="1" ht="14.1" customHeight="1" x14ac:dyDescent="0.2">
      <c r="A50" s="1" t="s">
        <v>127</v>
      </c>
      <c r="B50" s="1">
        <v>1462405.38347255</v>
      </c>
      <c r="C50" s="1">
        <v>-331127.92091316101</v>
      </c>
      <c r="D50" s="1" t="s">
        <v>113</v>
      </c>
      <c r="E50" s="1">
        <v>646115.10381286498</v>
      </c>
      <c r="F50" s="1" t="s">
        <v>113</v>
      </c>
      <c r="G50" s="1" t="s">
        <v>52</v>
      </c>
      <c r="H50" s="1" t="s">
        <v>53</v>
      </c>
      <c r="I50" s="1" t="s">
        <v>54</v>
      </c>
      <c r="J50" s="1">
        <v>9.0500000000000007</v>
      </c>
      <c r="K50" s="1">
        <v>33.96</v>
      </c>
      <c r="L50" s="1" t="s">
        <v>55</v>
      </c>
      <c r="M50" s="2">
        <v>43194</v>
      </c>
      <c r="N50" s="3">
        <v>0.4236111111111111</v>
      </c>
      <c r="O50" s="4">
        <v>0.42378472222222219</v>
      </c>
      <c r="P50" s="2">
        <v>43195</v>
      </c>
      <c r="Q50" s="1">
        <v>45</v>
      </c>
      <c r="R50" s="1" t="s">
        <v>56</v>
      </c>
      <c r="S50" s="1">
        <v>2.9</v>
      </c>
      <c r="T50" s="1">
        <v>0.1</v>
      </c>
      <c r="U50" s="1">
        <v>16.23</v>
      </c>
      <c r="V50" s="1">
        <v>95.2</v>
      </c>
      <c r="W50" s="1">
        <v>9.41</v>
      </c>
      <c r="X50" s="1">
        <v>0.114</v>
      </c>
      <c r="Y50" s="1">
        <v>8.1199999999999992</v>
      </c>
      <c r="Z50" s="1" t="s">
        <v>54</v>
      </c>
      <c r="AA50" s="1">
        <v>30.6</v>
      </c>
      <c r="AB50" s="1">
        <v>9.3000000000000007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2">
        <v>43195</v>
      </c>
      <c r="AR50" s="3">
        <v>0.4236111111111111</v>
      </c>
      <c r="AS50" s="1" t="s">
        <v>54</v>
      </c>
      <c r="AT50" s="1" t="s">
        <v>128</v>
      </c>
      <c r="AU50" s="18" t="s">
        <v>128</v>
      </c>
      <c r="AV50" s="1">
        <v>36.051257</v>
      </c>
      <c r="AW50" s="1">
        <v>78.756833999999998</v>
      </c>
    </row>
    <row r="51" spans="1:49" s="1" customFormat="1" ht="14.1" customHeight="1" x14ac:dyDescent="0.2">
      <c r="A51" s="1" t="s">
        <v>129</v>
      </c>
      <c r="B51" s="1">
        <v>1459545.6584246</v>
      </c>
      <c r="C51" s="1">
        <v>-329684.59249679599</v>
      </c>
      <c r="D51" s="1" t="s">
        <v>113</v>
      </c>
      <c r="E51" s="1">
        <v>646115.10381286498</v>
      </c>
      <c r="F51" s="1" t="s">
        <v>113</v>
      </c>
      <c r="G51" s="1" t="s">
        <v>52</v>
      </c>
      <c r="H51" s="1" t="s">
        <v>53</v>
      </c>
      <c r="I51" s="1" t="s">
        <v>54</v>
      </c>
      <c r="J51" s="1">
        <v>9.0500000000000007</v>
      </c>
      <c r="K51" s="1">
        <v>33.96</v>
      </c>
      <c r="L51" s="1" t="s">
        <v>55</v>
      </c>
      <c r="M51" s="2">
        <v>43194</v>
      </c>
      <c r="N51" s="3">
        <v>0.36874999999999997</v>
      </c>
      <c r="O51" s="3">
        <v>0.35726851851851849</v>
      </c>
      <c r="P51" s="2">
        <v>43195</v>
      </c>
      <c r="Q51" s="1">
        <v>50</v>
      </c>
      <c r="R51" s="1" t="s">
        <v>56</v>
      </c>
      <c r="S51" s="1">
        <v>1.3</v>
      </c>
      <c r="T51" s="1">
        <v>0.1</v>
      </c>
      <c r="U51" s="1">
        <v>16.559999999999999</v>
      </c>
      <c r="V51" s="1">
        <v>96.4</v>
      </c>
      <c r="W51" s="1">
        <v>9.35</v>
      </c>
      <c r="X51" s="1">
        <v>0.13300000000000001</v>
      </c>
      <c r="Y51" s="1">
        <v>8.6999999999999993</v>
      </c>
      <c r="Z51" s="1" t="s">
        <v>54</v>
      </c>
      <c r="AA51" s="1">
        <v>41.7</v>
      </c>
      <c r="AB51" s="1">
        <v>14</v>
      </c>
      <c r="AC51" s="1" t="s">
        <v>54</v>
      </c>
      <c r="AD51" s="1" t="s">
        <v>54</v>
      </c>
      <c r="AE51" s="1" t="s">
        <v>54</v>
      </c>
      <c r="AF51" s="1" t="s">
        <v>54</v>
      </c>
      <c r="AG51" s="1" t="s">
        <v>54</v>
      </c>
      <c r="AH51" s="1" t="s">
        <v>54</v>
      </c>
      <c r="AI51" s="1" t="s">
        <v>54</v>
      </c>
      <c r="AJ51" s="1" t="s">
        <v>54</v>
      </c>
      <c r="AK51" s="1" t="s">
        <v>54</v>
      </c>
      <c r="AL51" s="1" t="s">
        <v>54</v>
      </c>
      <c r="AM51" s="1" t="s">
        <v>54</v>
      </c>
      <c r="AN51" s="1" t="s">
        <v>54</v>
      </c>
      <c r="AO51" s="1" t="s">
        <v>54</v>
      </c>
      <c r="AP51" s="1" t="s">
        <v>54</v>
      </c>
      <c r="AQ51" s="2">
        <v>43195</v>
      </c>
      <c r="AR51" s="3">
        <v>0.35694444444444445</v>
      </c>
      <c r="AS51" s="1">
        <v>1</v>
      </c>
      <c r="AT51" s="1" t="s">
        <v>54</v>
      </c>
      <c r="AU51" s="1" t="s">
        <v>54</v>
      </c>
      <c r="AV51" s="1">
        <v>36.068345000000001</v>
      </c>
      <c r="AW51" s="1">
        <v>78.786124000000001</v>
      </c>
    </row>
    <row r="52" spans="1:49" ht="14.1" customHeight="1" x14ac:dyDescent="0.2">
      <c r="A52" t="s">
        <v>130</v>
      </c>
      <c r="B52">
        <v>1460710.10350598</v>
      </c>
      <c r="C52">
        <v>-331828.07014131598</v>
      </c>
      <c r="D52" t="s">
        <v>113</v>
      </c>
      <c r="E52">
        <v>646115.10381286498</v>
      </c>
      <c r="F52" t="s">
        <v>113</v>
      </c>
      <c r="G52" t="s">
        <v>52</v>
      </c>
      <c r="H52" s="18" t="s">
        <v>70</v>
      </c>
      <c r="I52" t="s">
        <v>54</v>
      </c>
      <c r="J52">
        <v>9.0500000000000007</v>
      </c>
      <c r="K52">
        <v>33.96</v>
      </c>
      <c r="L52" t="s">
        <v>55</v>
      </c>
    </row>
    <row r="53" spans="1:49" s="1" customFormat="1" ht="14.1" customHeight="1" x14ac:dyDescent="0.2">
      <c r="A53" s="1" t="s">
        <v>131</v>
      </c>
      <c r="B53" s="1">
        <v>1461494.6966983201</v>
      </c>
      <c r="C53" s="1">
        <v>-327926.46614629403</v>
      </c>
      <c r="D53" s="1" t="s">
        <v>113</v>
      </c>
      <c r="E53" s="1">
        <v>646115.10381286498</v>
      </c>
      <c r="F53" s="1" t="s">
        <v>113</v>
      </c>
      <c r="G53" s="1" t="s">
        <v>52</v>
      </c>
      <c r="H53" s="1" t="s">
        <v>53</v>
      </c>
      <c r="I53" s="1" t="s">
        <v>54</v>
      </c>
      <c r="J53" s="1">
        <v>9.0500000000000007</v>
      </c>
      <c r="K53" s="1">
        <v>33.96</v>
      </c>
      <c r="L53" s="1" t="s">
        <v>55</v>
      </c>
      <c r="M53" s="2">
        <v>43194</v>
      </c>
      <c r="N53" s="3">
        <v>0.38541666666666669</v>
      </c>
      <c r="O53" s="3">
        <v>0.37662037037037038</v>
      </c>
      <c r="P53" s="2">
        <v>43195</v>
      </c>
      <c r="Q53" s="1">
        <v>50</v>
      </c>
      <c r="R53" s="1" t="s">
        <v>56</v>
      </c>
      <c r="S53" s="1">
        <v>1.4</v>
      </c>
      <c r="T53" s="1">
        <v>0.1</v>
      </c>
      <c r="U53" s="1">
        <v>16.91</v>
      </c>
      <c r="V53" s="1">
        <v>95.5</v>
      </c>
      <c r="W53" s="1">
        <v>9.26</v>
      </c>
      <c r="X53" s="1">
        <v>0.11899999999999999</v>
      </c>
      <c r="Y53" s="1">
        <v>8.48</v>
      </c>
      <c r="Z53" s="1" t="s">
        <v>54</v>
      </c>
      <c r="AA53" s="1">
        <v>39.299999999999997</v>
      </c>
      <c r="AB53" s="1">
        <v>11.2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2">
        <v>43195</v>
      </c>
      <c r="AR53" s="3">
        <v>0.37638888888888888</v>
      </c>
      <c r="AS53" s="1" t="s">
        <v>54</v>
      </c>
      <c r="AT53" s="1" t="s">
        <v>132</v>
      </c>
      <c r="AU53" s="18" t="s">
        <v>132</v>
      </c>
      <c r="AV53" s="1">
        <v>36.079746999999998</v>
      </c>
      <c r="AW53" s="1">
        <v>78.760391999999996</v>
      </c>
    </row>
    <row r="54" spans="1:49" s="1" customFormat="1" ht="14.1" customHeight="1" x14ac:dyDescent="0.2">
      <c r="A54" s="1" t="s">
        <v>133</v>
      </c>
      <c r="B54" s="1">
        <v>1458850.18612617</v>
      </c>
      <c r="C54" s="1">
        <v>-329663.84827559098</v>
      </c>
      <c r="D54" s="1" t="s">
        <v>113</v>
      </c>
      <c r="E54" s="1">
        <v>646115.10381286498</v>
      </c>
      <c r="F54" s="1" t="s">
        <v>113</v>
      </c>
      <c r="G54" s="1" t="s">
        <v>52</v>
      </c>
      <c r="H54" s="1" t="s">
        <v>53</v>
      </c>
      <c r="I54" s="1" t="s">
        <v>54</v>
      </c>
      <c r="J54" s="1">
        <v>9.0500000000000007</v>
      </c>
      <c r="K54" s="1">
        <v>33.96</v>
      </c>
      <c r="L54" s="1" t="s">
        <v>55</v>
      </c>
      <c r="M54" s="2">
        <v>43194</v>
      </c>
      <c r="N54" s="3">
        <v>0.35416666666666669</v>
      </c>
      <c r="O54" s="3">
        <v>0.34525462962962966</v>
      </c>
      <c r="P54" s="2">
        <v>43195</v>
      </c>
      <c r="Q54" s="1">
        <v>50</v>
      </c>
      <c r="R54" s="1" t="s">
        <v>56</v>
      </c>
      <c r="S54" s="1">
        <v>1</v>
      </c>
      <c r="T54" s="1">
        <v>0.1</v>
      </c>
      <c r="U54" s="1">
        <v>16.39</v>
      </c>
      <c r="V54" s="1">
        <v>97</v>
      </c>
      <c r="W54" s="1">
        <v>9.5</v>
      </c>
      <c r="X54" s="1">
        <v>0.13900000000000001</v>
      </c>
      <c r="Y54" s="1">
        <v>8.8000000000000007</v>
      </c>
      <c r="Z54" s="1" t="s">
        <v>54</v>
      </c>
      <c r="AA54" s="1">
        <v>39.5</v>
      </c>
      <c r="AB54" s="1">
        <v>13.9</v>
      </c>
      <c r="AC54" s="1" t="s">
        <v>54</v>
      </c>
      <c r="AD54" s="1" t="s">
        <v>54</v>
      </c>
      <c r="AE54" s="1" t="s">
        <v>54</v>
      </c>
      <c r="AF54" s="1" t="s">
        <v>54</v>
      </c>
      <c r="AG54" s="1" t="s">
        <v>54</v>
      </c>
      <c r="AH54" s="1" t="s">
        <v>54</v>
      </c>
      <c r="AI54" s="1" t="s">
        <v>54</v>
      </c>
      <c r="AJ54" s="1" t="s">
        <v>54</v>
      </c>
      <c r="AK54" s="1" t="s">
        <v>54</v>
      </c>
      <c r="AL54" s="1" t="s">
        <v>54</v>
      </c>
      <c r="AM54" s="1" t="s">
        <v>54</v>
      </c>
      <c r="AN54" s="1" t="s">
        <v>54</v>
      </c>
      <c r="AO54" s="1" t="s">
        <v>54</v>
      </c>
      <c r="AP54" s="1" t="s">
        <v>54</v>
      </c>
      <c r="AQ54" s="2">
        <v>43195</v>
      </c>
      <c r="AR54" s="3">
        <v>0.34513888888888888</v>
      </c>
      <c r="AS54" s="1">
        <v>1</v>
      </c>
      <c r="AT54" s="1" t="s">
        <v>54</v>
      </c>
      <c r="AU54" s="1" t="s">
        <v>54</v>
      </c>
      <c r="AV54" s="1">
        <v>36.069228000000003</v>
      </c>
      <c r="AW54" s="1">
        <v>78.794078999999996</v>
      </c>
    </row>
    <row r="55" spans="1:49" s="1" customFormat="1" ht="14.1" customHeight="1" x14ac:dyDescent="0.2">
      <c r="A55" s="1" t="s">
        <v>134</v>
      </c>
      <c r="B55" s="1">
        <v>1461556.41889928</v>
      </c>
      <c r="C55" s="1">
        <v>-330515.08316079603</v>
      </c>
      <c r="D55" s="1" t="s">
        <v>113</v>
      </c>
      <c r="E55" s="1">
        <v>646115.10381286498</v>
      </c>
      <c r="F55" s="1" t="s">
        <v>113</v>
      </c>
      <c r="G55" s="1" t="s">
        <v>52</v>
      </c>
      <c r="H55" s="1" t="s">
        <v>53</v>
      </c>
      <c r="I55" s="1" t="s">
        <v>54</v>
      </c>
      <c r="J55" s="1">
        <v>9.0500000000000007</v>
      </c>
      <c r="K55" s="1">
        <v>33.96</v>
      </c>
      <c r="L55" s="1" t="s">
        <v>55</v>
      </c>
      <c r="M55" s="2">
        <v>43194</v>
      </c>
      <c r="N55" s="3">
        <v>0.40625</v>
      </c>
      <c r="O55" s="4">
        <v>0.40145833333333331</v>
      </c>
      <c r="P55" s="2">
        <v>43195</v>
      </c>
      <c r="Q55" s="1">
        <v>50</v>
      </c>
      <c r="R55" s="1" t="s">
        <v>56</v>
      </c>
      <c r="S55" s="1">
        <v>1.9</v>
      </c>
      <c r="T55" s="1">
        <v>0.1</v>
      </c>
      <c r="U55" s="1">
        <v>16.73</v>
      </c>
      <c r="V55" s="1">
        <v>98.3</v>
      </c>
      <c r="W55" s="1">
        <v>9.5299999999999994</v>
      </c>
      <c r="X55" s="1">
        <v>0.112</v>
      </c>
      <c r="Y55" s="1">
        <v>8.1999999999999993</v>
      </c>
      <c r="Z55" s="1" t="s">
        <v>54</v>
      </c>
      <c r="AA55" s="1">
        <v>32</v>
      </c>
      <c r="AB55" s="1">
        <v>9.1999999999999993</v>
      </c>
      <c r="AC55" s="1" t="s">
        <v>54</v>
      </c>
      <c r="AD55" s="1" t="s">
        <v>54</v>
      </c>
      <c r="AE55" s="1" t="s">
        <v>54</v>
      </c>
      <c r="AF55" s="1" t="s">
        <v>54</v>
      </c>
      <c r="AG55" s="1" t="s">
        <v>54</v>
      </c>
      <c r="AH55" s="1" t="s">
        <v>54</v>
      </c>
      <c r="AI55" s="1" t="s">
        <v>54</v>
      </c>
      <c r="AJ55" s="1" t="s">
        <v>54</v>
      </c>
      <c r="AK55" s="1" t="s">
        <v>54</v>
      </c>
      <c r="AL55" s="1" t="s">
        <v>54</v>
      </c>
      <c r="AM55" s="1" t="s">
        <v>54</v>
      </c>
      <c r="AN55" s="1" t="s">
        <v>54</v>
      </c>
      <c r="AO55" s="1" t="s">
        <v>54</v>
      </c>
      <c r="AP55" s="1" t="s">
        <v>54</v>
      </c>
      <c r="AQ55" s="2">
        <v>43195</v>
      </c>
      <c r="AR55" s="3">
        <v>0.40138888888888885</v>
      </c>
      <c r="AS55" s="1">
        <v>0</v>
      </c>
      <c r="AT55" s="1" t="s">
        <v>54</v>
      </c>
      <c r="AU55" s="1" t="s">
        <v>54</v>
      </c>
      <c r="AV55" s="1">
        <v>36.057850000000002</v>
      </c>
      <c r="AW55" s="1">
        <v>78.765141999999997</v>
      </c>
    </row>
    <row r="56" spans="1:49" s="1" customFormat="1" ht="14.1" customHeight="1" x14ac:dyDescent="0.2">
      <c r="A56" s="1" t="s">
        <v>135</v>
      </c>
      <c r="B56" s="1">
        <v>1461966.0872102999</v>
      </c>
      <c r="C56" s="1">
        <v>-331004.33148379897</v>
      </c>
      <c r="D56" s="1" t="s">
        <v>113</v>
      </c>
      <c r="E56" s="1">
        <v>646115.10381286498</v>
      </c>
      <c r="F56" s="1" t="s">
        <v>113</v>
      </c>
      <c r="G56" s="18" t="s">
        <v>88</v>
      </c>
      <c r="H56" s="1" t="s">
        <v>53</v>
      </c>
      <c r="I56" s="1" t="s">
        <v>54</v>
      </c>
      <c r="J56" s="1">
        <v>9.0500000000000007</v>
      </c>
      <c r="K56" s="1">
        <v>33.96</v>
      </c>
      <c r="L56" s="1" t="s">
        <v>55</v>
      </c>
      <c r="M56" s="2">
        <v>43194</v>
      </c>
      <c r="N56" s="3">
        <v>0.41250000000000003</v>
      </c>
      <c r="O56" s="4">
        <v>0.40689814814814818</v>
      </c>
      <c r="P56" s="2">
        <v>43195</v>
      </c>
      <c r="Q56" s="1">
        <v>50</v>
      </c>
      <c r="R56" s="1" t="s">
        <v>56</v>
      </c>
      <c r="S56" s="1">
        <v>2.4</v>
      </c>
      <c r="T56" s="1">
        <v>0.1</v>
      </c>
      <c r="U56" s="1">
        <v>16.48</v>
      </c>
      <c r="V56" s="1">
        <v>96.3</v>
      </c>
      <c r="W56" s="1">
        <v>9.42</v>
      </c>
      <c r="X56" s="1">
        <v>0.114</v>
      </c>
      <c r="Y56" s="1">
        <v>8.1999999999999993</v>
      </c>
      <c r="Z56" s="1" t="s">
        <v>54</v>
      </c>
      <c r="AA56" s="1">
        <v>28.5</v>
      </c>
      <c r="AB56" s="1">
        <v>10.6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2">
        <v>43195</v>
      </c>
      <c r="AR56" s="3">
        <v>0.40625</v>
      </c>
      <c r="AS56" s="1" t="s">
        <v>54</v>
      </c>
      <c r="AT56" s="1" t="s">
        <v>136</v>
      </c>
      <c r="AU56" s="18" t="s">
        <v>136</v>
      </c>
      <c r="AV56" s="1">
        <v>36.053192000000003</v>
      </c>
      <c r="AW56" s="1">
        <v>78.761573999999996</v>
      </c>
    </row>
    <row r="57" spans="1:49" s="1" customFormat="1" ht="14.1" customHeight="1" x14ac:dyDescent="0.2">
      <c r="A57" s="1" t="s">
        <v>137</v>
      </c>
      <c r="B57" s="1">
        <v>1461153.3383941799</v>
      </c>
      <c r="C57" s="1">
        <v>-328803.36032379</v>
      </c>
      <c r="D57" s="1" t="s">
        <v>113</v>
      </c>
      <c r="E57" s="1">
        <v>646115.10381286498</v>
      </c>
      <c r="F57" s="1" t="s">
        <v>113</v>
      </c>
      <c r="G57" s="18" t="s">
        <v>88</v>
      </c>
      <c r="H57" s="1" t="s">
        <v>53</v>
      </c>
      <c r="I57" s="1" t="s">
        <v>54</v>
      </c>
      <c r="J57" s="1">
        <v>9.0500000000000007</v>
      </c>
      <c r="K57" s="1">
        <v>33.96</v>
      </c>
      <c r="L57" s="1" t="s">
        <v>55</v>
      </c>
      <c r="M57" s="2">
        <v>43194</v>
      </c>
      <c r="N57" s="3">
        <v>0.39097222222222222</v>
      </c>
      <c r="O57" s="3">
        <v>0.38289351851851849</v>
      </c>
      <c r="P57" s="2">
        <v>43195</v>
      </c>
      <c r="Q57" s="1">
        <v>50</v>
      </c>
      <c r="R57" s="1" t="s">
        <v>56</v>
      </c>
      <c r="S57" s="1">
        <v>2.5</v>
      </c>
      <c r="T57" s="1">
        <v>0.1</v>
      </c>
      <c r="U57" s="1">
        <v>16.84</v>
      </c>
      <c r="V57" s="1">
        <v>95.2</v>
      </c>
      <c r="W57" s="1">
        <v>9.26</v>
      </c>
      <c r="X57" s="1">
        <v>0.11899999999999999</v>
      </c>
      <c r="Y57" s="1">
        <v>8.39</v>
      </c>
      <c r="Z57" s="1" t="s">
        <v>54</v>
      </c>
      <c r="AA57" s="1">
        <v>43.8</v>
      </c>
      <c r="AB57" s="1">
        <v>8.8000000000000007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1" t="s">
        <v>54</v>
      </c>
      <c r="AJ57" s="1" t="s">
        <v>54</v>
      </c>
      <c r="AK57" s="1" t="s">
        <v>54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2">
        <v>43195</v>
      </c>
      <c r="AR57" s="3">
        <v>0.38263888888888892</v>
      </c>
      <c r="AS57" s="1">
        <v>0</v>
      </c>
      <c r="AT57" s="1" t="s">
        <v>54</v>
      </c>
      <c r="AU57" s="1" t="s">
        <v>54</v>
      </c>
      <c r="AV57" s="1">
        <v>36.072876999999998</v>
      </c>
      <c r="AW57" s="1">
        <v>78.766205999999997</v>
      </c>
    </row>
    <row r="58" spans="1:49" s="1" customFormat="1" ht="14.1" customHeight="1" x14ac:dyDescent="0.2">
      <c r="A58" s="1" t="s">
        <v>138</v>
      </c>
      <c r="B58" s="1">
        <v>1462816.7064625199</v>
      </c>
      <c r="C58" s="1">
        <v>-331412.97293045599</v>
      </c>
      <c r="D58" s="1" t="s">
        <v>113</v>
      </c>
      <c r="E58" s="1">
        <v>646115.10381286498</v>
      </c>
      <c r="F58" s="1" t="s">
        <v>113</v>
      </c>
      <c r="G58" s="18" t="s">
        <v>88</v>
      </c>
      <c r="H58" s="1" t="s">
        <v>53</v>
      </c>
      <c r="I58" s="1" t="s">
        <v>54</v>
      </c>
      <c r="J58" s="1">
        <v>9.0500000000000007</v>
      </c>
      <c r="K58" s="1">
        <v>33.96</v>
      </c>
      <c r="L58" s="1" t="s">
        <v>55</v>
      </c>
      <c r="M58" s="2">
        <v>43194</v>
      </c>
      <c r="N58" s="3">
        <v>0.43055555555555558</v>
      </c>
      <c r="O58" s="4">
        <v>0.43096064814814811</v>
      </c>
      <c r="P58" s="2">
        <v>43195</v>
      </c>
      <c r="Q58" s="1">
        <v>45</v>
      </c>
      <c r="R58" s="1" t="s">
        <v>56</v>
      </c>
      <c r="S58" s="1">
        <v>2.2000000000000002</v>
      </c>
      <c r="T58" s="1">
        <v>0.1</v>
      </c>
      <c r="U58" s="1">
        <v>16.41</v>
      </c>
      <c r="V58" s="1">
        <v>96.4</v>
      </c>
      <c r="W58" s="1">
        <v>9.4600000000000009</v>
      </c>
      <c r="X58" s="1">
        <v>0.112</v>
      </c>
      <c r="Y58" s="1">
        <v>8.1199999999999992</v>
      </c>
      <c r="Z58" s="1" t="s">
        <v>54</v>
      </c>
      <c r="AA58" s="1">
        <v>20.6</v>
      </c>
      <c r="AB58" s="1">
        <v>9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2">
        <v>43195</v>
      </c>
      <c r="AR58" s="3">
        <v>0.43055555555555558</v>
      </c>
      <c r="AS58" s="1">
        <v>1</v>
      </c>
      <c r="AT58" s="1" t="s">
        <v>54</v>
      </c>
      <c r="AU58" s="1" t="s">
        <v>54</v>
      </c>
      <c r="AV58" s="1">
        <v>36.048507000000001</v>
      </c>
      <c r="AW58" s="1">
        <v>78.752319</v>
      </c>
    </row>
    <row r="59" spans="1:49" ht="14.1" customHeight="1" x14ac:dyDescent="0.2">
      <c r="A59" t="s">
        <v>139</v>
      </c>
      <c r="B59">
        <v>1460422.9056593799</v>
      </c>
      <c r="C59">
        <v>-329450.85536671802</v>
      </c>
      <c r="D59" t="s">
        <v>113</v>
      </c>
      <c r="E59">
        <v>646115.10381286498</v>
      </c>
      <c r="F59" t="s">
        <v>113</v>
      </c>
      <c r="G59" s="18" t="s">
        <v>88</v>
      </c>
      <c r="H59" s="18" t="s">
        <v>70</v>
      </c>
      <c r="I59" t="s">
        <v>54</v>
      </c>
      <c r="J59">
        <v>9.0500000000000007</v>
      </c>
      <c r="K59">
        <v>33.96</v>
      </c>
      <c r="L59" t="s">
        <v>55</v>
      </c>
      <c r="M59" s="5"/>
      <c r="N59" s="6"/>
      <c r="O59" s="6"/>
      <c r="P59" s="6"/>
      <c r="AQ59" s="5"/>
      <c r="AR59" s="6"/>
    </row>
    <row r="60" spans="1:49" ht="14.1" customHeight="1" x14ac:dyDescent="0.2">
      <c r="A60" t="s">
        <v>140</v>
      </c>
      <c r="B60">
        <v>1461126.29935535</v>
      </c>
      <c r="C60">
        <v>-330087.50289372698</v>
      </c>
      <c r="D60" t="s">
        <v>113</v>
      </c>
      <c r="E60">
        <v>646115.10381286498</v>
      </c>
      <c r="F60" t="s">
        <v>113</v>
      </c>
      <c r="G60" s="18" t="s">
        <v>88</v>
      </c>
      <c r="H60" s="18" t="s">
        <v>70</v>
      </c>
      <c r="I60" t="s">
        <v>54</v>
      </c>
      <c r="J60">
        <v>9.0500000000000007</v>
      </c>
      <c r="K60">
        <v>33.96</v>
      </c>
      <c r="L60" t="s">
        <v>55</v>
      </c>
    </row>
    <row r="61" spans="1:49" ht="14.1" customHeight="1" x14ac:dyDescent="0.2">
      <c r="A61" t="s">
        <v>141</v>
      </c>
      <c r="B61">
        <v>1459428.88748133</v>
      </c>
      <c r="C61">
        <v>-328451.93498989398</v>
      </c>
      <c r="D61" t="s">
        <v>113</v>
      </c>
      <c r="E61">
        <v>646115.10381286498</v>
      </c>
      <c r="F61" t="s">
        <v>113</v>
      </c>
      <c r="G61" s="18" t="s">
        <v>88</v>
      </c>
      <c r="H61" s="18" t="s">
        <v>70</v>
      </c>
      <c r="I61" t="s">
        <v>54</v>
      </c>
      <c r="J61">
        <v>9.0500000000000007</v>
      </c>
      <c r="K61">
        <v>33.96</v>
      </c>
      <c r="L61" t="s">
        <v>55</v>
      </c>
    </row>
    <row r="62" spans="1:49" ht="14.1" customHeight="1" x14ac:dyDescent="0.2">
      <c r="A62" t="s">
        <v>142</v>
      </c>
      <c r="B62">
        <v>1462124.2586956799</v>
      </c>
      <c r="C62">
        <v>-330939.56871706399</v>
      </c>
      <c r="D62" t="s">
        <v>113</v>
      </c>
      <c r="E62">
        <v>646115.10381286498</v>
      </c>
      <c r="F62" t="s">
        <v>113</v>
      </c>
      <c r="G62" s="18" t="s">
        <v>88</v>
      </c>
      <c r="H62" s="18" t="s">
        <v>70</v>
      </c>
      <c r="I62" t="s">
        <v>54</v>
      </c>
      <c r="J62">
        <v>9.0500000000000007</v>
      </c>
      <c r="K62">
        <v>33.96</v>
      </c>
      <c r="L62" t="s">
        <v>55</v>
      </c>
    </row>
    <row r="63" spans="1:49" ht="14.1" customHeight="1" x14ac:dyDescent="0.2">
      <c r="A63" t="s">
        <v>143</v>
      </c>
      <c r="B63">
        <v>1459570.5018283001</v>
      </c>
      <c r="C63">
        <v>-329512.47281771799</v>
      </c>
      <c r="D63" t="s">
        <v>113</v>
      </c>
      <c r="E63">
        <v>646115.10381286498</v>
      </c>
      <c r="F63" t="s">
        <v>113</v>
      </c>
      <c r="G63" s="18" t="s">
        <v>88</v>
      </c>
      <c r="H63" s="18" t="s">
        <v>70</v>
      </c>
      <c r="I63" t="s">
        <v>54</v>
      </c>
      <c r="J63">
        <v>9.0500000000000007</v>
      </c>
      <c r="K63">
        <v>33.96</v>
      </c>
      <c r="L63" t="s">
        <v>55</v>
      </c>
    </row>
    <row r="64" spans="1:49" ht="14.1" customHeight="1" x14ac:dyDescent="0.2">
      <c r="A64" t="s">
        <v>144</v>
      </c>
      <c r="B64">
        <v>1461188.31923695</v>
      </c>
      <c r="C64">
        <v>-330777.66559621901</v>
      </c>
      <c r="D64" t="s">
        <v>113</v>
      </c>
      <c r="E64">
        <v>646115.10381286498</v>
      </c>
      <c r="F64" t="s">
        <v>113</v>
      </c>
      <c r="G64" s="18" t="s">
        <v>88</v>
      </c>
      <c r="H64" s="18" t="s">
        <v>70</v>
      </c>
      <c r="I64" t="s">
        <v>54</v>
      </c>
      <c r="J64">
        <v>9.0500000000000007</v>
      </c>
      <c r="K64">
        <v>33.96</v>
      </c>
      <c r="L64" t="s">
        <v>55</v>
      </c>
    </row>
    <row r="65" spans="1:12" ht="14.1" customHeight="1" x14ac:dyDescent="0.2">
      <c r="A65" t="s">
        <v>145</v>
      </c>
      <c r="B65">
        <v>1459638.60189808</v>
      </c>
      <c r="C65">
        <v>-328615.22111290798</v>
      </c>
      <c r="D65" t="s">
        <v>113</v>
      </c>
      <c r="E65">
        <v>646115.10381286498</v>
      </c>
      <c r="F65" t="s">
        <v>113</v>
      </c>
      <c r="G65" s="18" t="s">
        <v>88</v>
      </c>
      <c r="H65" s="18" t="s">
        <v>70</v>
      </c>
      <c r="I65" t="s">
        <v>54</v>
      </c>
      <c r="J65">
        <v>9.0500000000000007</v>
      </c>
      <c r="K65">
        <v>33.96</v>
      </c>
      <c r="L65" t="s">
        <v>55</v>
      </c>
    </row>
    <row r="66" spans="1:12" ht="14.1" customHeight="1" x14ac:dyDescent="0.2">
      <c r="A66" t="s">
        <v>146</v>
      </c>
      <c r="B66">
        <v>1458234.7384929601</v>
      </c>
      <c r="C66">
        <v>-330010.87619965099</v>
      </c>
      <c r="D66" t="s">
        <v>113</v>
      </c>
      <c r="E66">
        <v>646115.10381286498</v>
      </c>
      <c r="F66" t="s">
        <v>113</v>
      </c>
      <c r="G66" s="18" t="s">
        <v>88</v>
      </c>
      <c r="H66" s="18" t="s">
        <v>70</v>
      </c>
      <c r="I66" t="s">
        <v>54</v>
      </c>
      <c r="J66">
        <v>9.0500000000000007</v>
      </c>
      <c r="K66">
        <v>33.96</v>
      </c>
      <c r="L66" t="s">
        <v>55</v>
      </c>
    </row>
    <row r="67" spans="1:12" ht="14.1" customHeight="1" x14ac:dyDescent="0.2">
      <c r="A67" t="s">
        <v>147</v>
      </c>
      <c r="B67">
        <v>1461647.0779347401</v>
      </c>
      <c r="C67">
        <v>-330045.94937050901</v>
      </c>
      <c r="D67" t="s">
        <v>113</v>
      </c>
      <c r="E67">
        <v>646115.10381286498</v>
      </c>
      <c r="F67" t="s">
        <v>113</v>
      </c>
      <c r="G67" s="18" t="s">
        <v>88</v>
      </c>
      <c r="H67" s="18" t="s">
        <v>70</v>
      </c>
      <c r="I67" t="s">
        <v>54</v>
      </c>
      <c r="J67">
        <v>9.0500000000000007</v>
      </c>
      <c r="K67">
        <v>33.96</v>
      </c>
      <c r="L67" t="s">
        <v>55</v>
      </c>
    </row>
    <row r="68" spans="1:12" ht="14.1" customHeight="1" x14ac:dyDescent="0.2">
      <c r="A68" t="s">
        <v>148</v>
      </c>
      <c r="B68">
        <v>1461742.2884984899</v>
      </c>
      <c r="C68">
        <v>-331417.54390126298</v>
      </c>
      <c r="D68" t="s">
        <v>113</v>
      </c>
      <c r="E68">
        <v>646115.10381286498</v>
      </c>
      <c r="F68" t="s">
        <v>113</v>
      </c>
      <c r="G68" s="18" t="s">
        <v>88</v>
      </c>
      <c r="H68" s="18" t="s">
        <v>70</v>
      </c>
      <c r="I68" t="s">
        <v>54</v>
      </c>
      <c r="J68">
        <v>9.0500000000000007</v>
      </c>
      <c r="K68">
        <v>33.96</v>
      </c>
      <c r="L68" t="s">
        <v>55</v>
      </c>
    </row>
    <row r="69" spans="1:12" ht="14.1" customHeight="1" x14ac:dyDescent="0.2">
      <c r="A69" t="s">
        <v>149</v>
      </c>
      <c r="B69">
        <v>1461175.2208317099</v>
      </c>
      <c r="C69">
        <v>-329223.55858806701</v>
      </c>
      <c r="D69" t="s">
        <v>113</v>
      </c>
      <c r="E69">
        <v>646115.10381286498</v>
      </c>
      <c r="F69" t="s">
        <v>113</v>
      </c>
      <c r="G69" s="18" t="s">
        <v>88</v>
      </c>
      <c r="H69" s="18" t="s">
        <v>70</v>
      </c>
      <c r="I69" t="s">
        <v>54</v>
      </c>
      <c r="J69">
        <v>9.0500000000000007</v>
      </c>
      <c r="K69">
        <v>33.96</v>
      </c>
      <c r="L69" t="s">
        <v>55</v>
      </c>
    </row>
    <row r="70" spans="1:12" ht="14.1" customHeight="1" x14ac:dyDescent="0.2">
      <c r="A70" t="s">
        <v>150</v>
      </c>
      <c r="B70">
        <v>1458438.2689139899</v>
      </c>
      <c r="C70">
        <v>-329652.25512148603</v>
      </c>
      <c r="D70" t="s">
        <v>113</v>
      </c>
      <c r="E70">
        <v>646115.10381286498</v>
      </c>
      <c r="F70" t="s">
        <v>113</v>
      </c>
      <c r="G70" s="18" t="s">
        <v>88</v>
      </c>
      <c r="H70" s="18" t="s">
        <v>70</v>
      </c>
      <c r="I70" t="s">
        <v>54</v>
      </c>
      <c r="J70">
        <v>9.0500000000000007</v>
      </c>
      <c r="K70">
        <v>33.96</v>
      </c>
      <c r="L70" t="s">
        <v>55</v>
      </c>
    </row>
    <row r="71" spans="1:12" ht="14.1" customHeight="1" x14ac:dyDescent="0.2">
      <c r="A71" t="s">
        <v>151</v>
      </c>
      <c r="B71">
        <v>1461635.3300456901</v>
      </c>
      <c r="C71">
        <v>-329297.86201026302</v>
      </c>
      <c r="D71" t="s">
        <v>113</v>
      </c>
      <c r="E71">
        <v>646115.10381286498</v>
      </c>
      <c r="F71" t="s">
        <v>113</v>
      </c>
      <c r="G71" s="18" t="s">
        <v>88</v>
      </c>
      <c r="H71" s="18" t="s">
        <v>70</v>
      </c>
      <c r="I71" t="s">
        <v>54</v>
      </c>
      <c r="J71">
        <v>9.0500000000000007</v>
      </c>
      <c r="K71">
        <v>33.96</v>
      </c>
      <c r="L71" t="s">
        <v>55</v>
      </c>
    </row>
    <row r="72" spans="1:12" ht="14.1" customHeight="1" x14ac:dyDescent="0.2">
      <c r="A72" t="s">
        <v>152</v>
      </c>
      <c r="B72">
        <v>1460210.70102928</v>
      </c>
      <c r="C72">
        <v>-329218.62914443202</v>
      </c>
      <c r="D72" t="s">
        <v>113</v>
      </c>
      <c r="E72">
        <v>646115.10381286498</v>
      </c>
      <c r="F72" t="s">
        <v>113</v>
      </c>
      <c r="G72" s="18" t="s">
        <v>88</v>
      </c>
      <c r="H72" s="18" t="s">
        <v>70</v>
      </c>
      <c r="I72" t="s">
        <v>54</v>
      </c>
      <c r="J72">
        <v>9.0500000000000007</v>
      </c>
      <c r="K72">
        <v>33.96</v>
      </c>
      <c r="L72" t="s">
        <v>55</v>
      </c>
    </row>
    <row r="73" spans="1:12" ht="14.1" customHeight="1" x14ac:dyDescent="0.2">
      <c r="A73" t="s">
        <v>153</v>
      </c>
      <c r="B73">
        <v>1461503.04050983</v>
      </c>
      <c r="C73">
        <v>-328794.60014871502</v>
      </c>
      <c r="D73" t="s">
        <v>113</v>
      </c>
      <c r="E73">
        <v>646115.10381286498</v>
      </c>
      <c r="F73" t="s">
        <v>113</v>
      </c>
      <c r="G73" s="18" t="s">
        <v>88</v>
      </c>
      <c r="H73" s="18" t="s">
        <v>70</v>
      </c>
      <c r="I73" t="s">
        <v>54</v>
      </c>
      <c r="J73">
        <v>9.0500000000000007</v>
      </c>
      <c r="K73">
        <v>33.96</v>
      </c>
      <c r="L73" t="s">
        <v>55</v>
      </c>
    </row>
    <row r="74" spans="1:12" ht="14.1" customHeight="1" x14ac:dyDescent="0.2"/>
    <row r="81" spans="1:21" x14ac:dyDescent="0.2">
      <c r="B81" t="s">
        <v>195</v>
      </c>
    </row>
    <row r="82" spans="1:21" x14ac:dyDescent="0.2">
      <c r="A82" t="s">
        <v>194</v>
      </c>
      <c r="B82" t="s">
        <v>190</v>
      </c>
      <c r="F82" t="s">
        <v>202</v>
      </c>
    </row>
    <row r="83" spans="1:21" x14ac:dyDescent="0.2">
      <c r="A83" t="s">
        <v>194</v>
      </c>
      <c r="B83" t="s">
        <v>193</v>
      </c>
      <c r="F83" t="s">
        <v>203</v>
      </c>
    </row>
    <row r="84" spans="1:21" x14ac:dyDescent="0.2">
      <c r="F84" t="s">
        <v>204</v>
      </c>
    </row>
    <row r="96" spans="1:21" hidden="1" x14ac:dyDescent="0.2">
      <c r="B96" s="7" t="s">
        <v>154</v>
      </c>
      <c r="C96" s="7" t="s">
        <v>155</v>
      </c>
      <c r="D96" s="7" t="s">
        <v>156</v>
      </c>
      <c r="E96" s="7" t="s">
        <v>157</v>
      </c>
      <c r="F96" s="7" t="s">
        <v>158</v>
      </c>
      <c r="G96" s="7" t="s">
        <v>159</v>
      </c>
      <c r="H96" s="7" t="s">
        <v>160</v>
      </c>
      <c r="I96" s="7" t="s">
        <v>161</v>
      </c>
      <c r="J96" s="7" t="s">
        <v>162</v>
      </c>
      <c r="K96" s="7" t="s">
        <v>163</v>
      </c>
      <c r="L96" s="8"/>
      <c r="M96" s="7" t="s">
        <v>164</v>
      </c>
      <c r="N96" s="7" t="s">
        <v>165</v>
      </c>
      <c r="O96" s="7" t="s">
        <v>166</v>
      </c>
      <c r="P96" s="7" t="s">
        <v>167</v>
      </c>
      <c r="Q96" s="7" t="s">
        <v>168</v>
      </c>
      <c r="R96" s="7" t="s">
        <v>169</v>
      </c>
      <c r="S96" s="7" t="s">
        <v>170</v>
      </c>
      <c r="T96" s="7" t="s">
        <v>171</v>
      </c>
      <c r="U96" s="7" t="s">
        <v>172</v>
      </c>
    </row>
    <row r="97" spans="1:21" hidden="1" x14ac:dyDescent="0.2">
      <c r="B97" s="9" t="s">
        <v>0</v>
      </c>
      <c r="C97" s="9" t="s">
        <v>18</v>
      </c>
      <c r="D97" s="9" t="s">
        <v>19</v>
      </c>
      <c r="E97" s="9" t="s">
        <v>20</v>
      </c>
      <c r="F97" s="9" t="s">
        <v>22</v>
      </c>
      <c r="G97" s="9" t="s">
        <v>21</v>
      </c>
      <c r="H97" s="9" t="s">
        <v>23</v>
      </c>
      <c r="I97" s="9" t="s">
        <v>24</v>
      </c>
      <c r="J97" s="9" t="s">
        <v>27</v>
      </c>
      <c r="K97" s="9" t="s">
        <v>26</v>
      </c>
      <c r="L97" s="10"/>
      <c r="M97" s="9" t="s">
        <v>28</v>
      </c>
      <c r="N97" s="9" t="s">
        <v>29</v>
      </c>
      <c r="O97" s="9" t="s">
        <v>31</v>
      </c>
      <c r="P97" s="9" t="s">
        <v>30</v>
      </c>
      <c r="Q97" s="9" t="s">
        <v>32</v>
      </c>
      <c r="R97" s="9" t="s">
        <v>33</v>
      </c>
      <c r="S97" s="9" t="s">
        <v>36</v>
      </c>
      <c r="T97" s="9" t="s">
        <v>35</v>
      </c>
      <c r="U97" s="9" t="s">
        <v>46</v>
      </c>
    </row>
    <row r="98" spans="1:21" hidden="1" x14ac:dyDescent="0.2">
      <c r="B98" t="s">
        <v>0</v>
      </c>
      <c r="C98" t="s">
        <v>18</v>
      </c>
      <c r="D98" t="s">
        <v>19</v>
      </c>
      <c r="E98" t="s">
        <v>20</v>
      </c>
      <c r="F98" t="s">
        <v>22</v>
      </c>
      <c r="G98" t="s">
        <v>21</v>
      </c>
      <c r="H98" t="s">
        <v>23</v>
      </c>
      <c r="I98" t="s">
        <v>24</v>
      </c>
      <c r="J98" t="s">
        <v>27</v>
      </c>
      <c r="K98" t="s">
        <v>26</v>
      </c>
      <c r="M98" t="s">
        <v>28</v>
      </c>
      <c r="N98" t="s">
        <v>29</v>
      </c>
      <c r="O98" t="s">
        <v>31</v>
      </c>
      <c r="P98" t="s">
        <v>30</v>
      </c>
      <c r="Q98" t="s">
        <v>32</v>
      </c>
      <c r="R98" t="s">
        <v>33</v>
      </c>
      <c r="S98" t="s">
        <v>36</v>
      </c>
      <c r="T98" t="s">
        <v>35</v>
      </c>
      <c r="U98" t="s">
        <v>46</v>
      </c>
    </row>
    <row r="99" spans="1:21" hidden="1" x14ac:dyDescent="0.2">
      <c r="A99" s="11" t="s">
        <v>71</v>
      </c>
      <c r="B99" t="str">
        <f t="shared" ref="B99:U99" si="0">INDEX($A$1:$AW$92,MATCH($A$99,$A$1:$A$92,0),MATCH(B98,$A$1:$AW$1,0))</f>
        <v>SU-07</v>
      </c>
      <c r="C99">
        <f t="shared" si="0"/>
        <v>8</v>
      </c>
      <c r="D99">
        <f t="shared" si="0"/>
        <v>0.1</v>
      </c>
      <c r="E99">
        <f t="shared" si="0"/>
        <v>15.58</v>
      </c>
      <c r="F99">
        <f t="shared" si="0"/>
        <v>10.47</v>
      </c>
      <c r="G99">
        <f t="shared" si="0"/>
        <v>106.1</v>
      </c>
      <c r="H99">
        <f t="shared" si="0"/>
        <v>0.14299999999999999</v>
      </c>
      <c r="I99">
        <f t="shared" si="0"/>
        <v>8.0399999999999991</v>
      </c>
      <c r="J99">
        <f t="shared" si="0"/>
        <v>11</v>
      </c>
      <c r="K99">
        <f t="shared" si="0"/>
        <v>8.1999999999999993</v>
      </c>
      <c r="L99" t="e">
        <f t="shared" si="0"/>
        <v>#N/A</v>
      </c>
      <c r="M99">
        <f t="shared" si="0"/>
        <v>7</v>
      </c>
      <c r="N99">
        <f t="shared" si="0"/>
        <v>11.93</v>
      </c>
      <c r="O99">
        <f t="shared" si="0"/>
        <v>6.63</v>
      </c>
      <c r="P99">
        <f t="shared" si="0"/>
        <v>61.1</v>
      </c>
      <c r="Q99">
        <f t="shared" si="0"/>
        <v>0.14699999999999999</v>
      </c>
      <c r="R99">
        <f t="shared" si="0"/>
        <v>7.61</v>
      </c>
      <c r="S99">
        <f t="shared" si="0"/>
        <v>5.8</v>
      </c>
      <c r="T99">
        <f t="shared" si="0"/>
        <v>11.4</v>
      </c>
      <c r="U99" t="str">
        <f t="shared" si="0"/>
        <v>NA</v>
      </c>
    </row>
    <row r="102" spans="1:21" x14ac:dyDescent="0.2">
      <c r="L102" s="12"/>
      <c r="M102" s="12"/>
      <c r="N102" s="12"/>
      <c r="O102" s="12"/>
      <c r="P102" s="12"/>
      <c r="Q102" s="12"/>
      <c r="R102" s="12"/>
      <c r="S102" s="12"/>
      <c r="T102" s="12"/>
      <c r="U102" s="7" t="s">
        <v>172</v>
      </c>
    </row>
    <row r="103" spans="1:21" hidden="1" x14ac:dyDescent="0.2">
      <c r="B103" s="7" t="s">
        <v>154</v>
      </c>
      <c r="C103" s="7" t="s">
        <v>173</v>
      </c>
      <c r="D103" s="7" t="s">
        <v>174</v>
      </c>
      <c r="E103" s="7" t="s">
        <v>175</v>
      </c>
      <c r="F103" s="7" t="s">
        <v>176</v>
      </c>
      <c r="G103" s="7" t="s">
        <v>177</v>
      </c>
      <c r="H103" s="7" t="s">
        <v>178</v>
      </c>
      <c r="I103" s="7" t="s">
        <v>179</v>
      </c>
      <c r="J103" s="7" t="s">
        <v>180</v>
      </c>
      <c r="K103" s="13"/>
      <c r="L103" s="14"/>
      <c r="M103" s="15"/>
      <c r="N103" s="15"/>
      <c r="O103" s="15"/>
      <c r="P103" s="15"/>
      <c r="Q103" s="15"/>
      <c r="R103" s="15"/>
      <c r="S103" s="15"/>
      <c r="T103" s="15"/>
      <c r="U103" s="9" t="s">
        <v>46</v>
      </c>
    </row>
    <row r="104" spans="1:21" hidden="1" x14ac:dyDescent="0.2">
      <c r="B104" s="9" t="s">
        <v>0</v>
      </c>
      <c r="C104" s="9" t="s">
        <v>47</v>
      </c>
      <c r="D104" s="9" t="s">
        <v>48</v>
      </c>
      <c r="E104" s="9" t="s">
        <v>12</v>
      </c>
      <c r="F104" s="9" t="s">
        <v>13</v>
      </c>
      <c r="G104" s="9" t="s">
        <v>42</v>
      </c>
      <c r="H104" s="9" t="s">
        <v>43</v>
      </c>
      <c r="I104" s="9" t="s">
        <v>44</v>
      </c>
      <c r="J104" s="9" t="s">
        <v>45</v>
      </c>
      <c r="K104" s="16"/>
      <c r="L104" s="17"/>
      <c r="M104" s="17"/>
      <c r="N104" s="17"/>
      <c r="O104" s="17"/>
      <c r="P104" s="17"/>
      <c r="Q104" s="17"/>
      <c r="R104" s="17"/>
      <c r="S104" s="17"/>
      <c r="T104" s="17"/>
      <c r="U104" t="s">
        <v>46</v>
      </c>
    </row>
    <row r="105" spans="1:21" hidden="1" x14ac:dyDescent="0.2">
      <c r="B105" t="s">
        <v>0</v>
      </c>
      <c r="C105" t="s">
        <v>47</v>
      </c>
      <c r="D105" t="s">
        <v>48</v>
      </c>
      <c r="E105" t="s">
        <v>12</v>
      </c>
      <c r="F105" t="s">
        <v>13</v>
      </c>
      <c r="G105" t="s">
        <v>42</v>
      </c>
      <c r="H105" t="s">
        <v>43</v>
      </c>
      <c r="I105" t="s">
        <v>44</v>
      </c>
      <c r="J105" t="s">
        <v>45</v>
      </c>
      <c r="L105" s="12"/>
      <c r="M105" s="12"/>
      <c r="N105" s="12"/>
      <c r="O105" s="12"/>
      <c r="P105" s="12"/>
      <c r="Q105" s="12"/>
      <c r="R105" s="12"/>
      <c r="S105" s="12"/>
      <c r="T105" s="12"/>
      <c r="U105" t="str">
        <f>INDEX($A$1:$AW$92,MATCH($A$106,$A$1:$A$92,0),MATCH(U104,$A$1:$AW$1,0))</f>
        <v>NA</v>
      </c>
    </row>
    <row r="106" spans="1:21" hidden="1" x14ac:dyDescent="0.2">
      <c r="A106" s="11" t="s">
        <v>86</v>
      </c>
      <c r="B106" t="str">
        <f t="shared" ref="B106:J106" si="1">INDEX($A$1:$AW$92,MATCH($A$106,$A$1:$A$92,0),MATCH(B105,$A$1:$AW$1,0))</f>
        <v>SU-16</v>
      </c>
      <c r="C106">
        <f t="shared" si="1"/>
        <v>35.956710000000001</v>
      </c>
      <c r="D106">
        <f t="shared" si="1"/>
        <v>78.590485999999999</v>
      </c>
      <c r="E106" s="5">
        <f t="shared" si="1"/>
        <v>43194</v>
      </c>
      <c r="F106" s="19">
        <f t="shared" si="1"/>
        <v>0.56944444444444442</v>
      </c>
      <c r="G106" s="5">
        <f t="shared" si="1"/>
        <v>43195</v>
      </c>
      <c r="H106" s="19">
        <f t="shared" si="1"/>
        <v>0.58333333333333337</v>
      </c>
      <c r="I106">
        <f t="shared" si="1"/>
        <v>0</v>
      </c>
      <c r="J106" t="str">
        <f t="shared" si="1"/>
        <v>NA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10" spans="1:21" hidden="1" x14ac:dyDescent="0.2">
      <c r="B110" s="7" t="s">
        <v>154</v>
      </c>
      <c r="C110" s="7" t="s">
        <v>181</v>
      </c>
      <c r="D110" s="7" t="s">
        <v>182</v>
      </c>
      <c r="E110" s="7" t="s">
        <v>183</v>
      </c>
      <c r="F110" s="7" t="s">
        <v>184</v>
      </c>
      <c r="G110" s="7" t="s">
        <v>185</v>
      </c>
      <c r="H110" s="7"/>
      <c r="I110" s="7"/>
      <c r="J110" s="7"/>
      <c r="K110" s="13"/>
      <c r="L110" s="14"/>
      <c r="M110" s="15"/>
      <c r="N110" s="15"/>
      <c r="O110" s="15"/>
      <c r="P110" s="15"/>
      <c r="Q110" s="15"/>
      <c r="R110" s="15"/>
      <c r="S110" s="15"/>
      <c r="T110" s="15"/>
      <c r="U110" s="7" t="s">
        <v>172</v>
      </c>
    </row>
    <row r="111" spans="1:21" hidden="1" x14ac:dyDescent="0.2">
      <c r="B111" s="9" t="s">
        <v>0</v>
      </c>
      <c r="C111" s="9" t="s">
        <v>38</v>
      </c>
      <c r="D111" s="9" t="s">
        <v>39</v>
      </c>
      <c r="E111" s="9" t="s">
        <v>40</v>
      </c>
      <c r="F111" s="9" t="s">
        <v>37</v>
      </c>
      <c r="G111" s="9" t="s">
        <v>41</v>
      </c>
      <c r="H111" s="9"/>
      <c r="I111" s="9"/>
      <c r="J111" s="9"/>
      <c r="K111" s="16"/>
      <c r="L111" s="17"/>
      <c r="M111" s="17"/>
      <c r="N111" s="17"/>
      <c r="O111" s="17"/>
      <c r="P111" s="17"/>
      <c r="Q111" s="17"/>
      <c r="R111" s="17"/>
      <c r="S111" s="17"/>
      <c r="T111" s="17"/>
      <c r="U111" s="9" t="s">
        <v>46</v>
      </c>
    </row>
    <row r="112" spans="1:21" hidden="1" x14ac:dyDescent="0.2">
      <c r="B112" t="s">
        <v>0</v>
      </c>
      <c r="C112" t="s">
        <v>38</v>
      </c>
      <c r="D112" t="s">
        <v>39</v>
      </c>
      <c r="E112" t="s">
        <v>40</v>
      </c>
      <c r="F112" t="s">
        <v>37</v>
      </c>
      <c r="G112" t="s">
        <v>41</v>
      </c>
      <c r="L112" s="12"/>
      <c r="M112" s="12"/>
      <c r="N112" s="12"/>
      <c r="O112" s="12"/>
      <c r="P112" s="12"/>
      <c r="Q112" s="12"/>
      <c r="R112" s="12"/>
      <c r="S112" s="12"/>
      <c r="T112" s="12"/>
      <c r="U112" t="s">
        <v>46</v>
      </c>
    </row>
    <row r="113" spans="1:21" hidden="1" x14ac:dyDescent="0.2">
      <c r="A113" s="11" t="s">
        <v>58</v>
      </c>
      <c r="B113" t="str">
        <f t="shared" ref="B113:G113" si="2">INDEX($A$1:$AW$92,MATCH($A$113,$A$1:$A$92,0),MATCH(B112,$A$1:$AW$1,0))</f>
        <v>SU-02</v>
      </c>
      <c r="C113" t="str">
        <f t="shared" si="2"/>
        <v>04052018.FL.02.DG.1, 04052018.FL.02.DG.2</v>
      </c>
      <c r="D113">
        <f t="shared" si="2"/>
        <v>115</v>
      </c>
      <c r="E113">
        <f t="shared" si="2"/>
        <v>25</v>
      </c>
      <c r="F113" t="str">
        <f t="shared" si="2"/>
        <v>04052018.FL.02.AA.1, 04052018.FL.02.AA.2, 04052018.FL.02.AA.3, 04052018.FL.02.AA.4, 04052018.FL.02.AA.5</v>
      </c>
      <c r="G113">
        <f t="shared" si="2"/>
        <v>760.9</v>
      </c>
      <c r="L113" s="12"/>
      <c r="M113" s="12"/>
      <c r="N113" s="12"/>
      <c r="O113" s="12"/>
      <c r="P113" s="12"/>
      <c r="Q113" s="12"/>
      <c r="R113" s="12"/>
      <c r="S113" s="12"/>
      <c r="T113" s="12"/>
      <c r="U113" t="str">
        <f>INDEX($A$1:$AW$92,MATCH($A$113,$A$1:$A$92,0),MATCH(U112,$A$1:$AW$1,0))</f>
        <v>DGA - Smoke, Heavy)</v>
      </c>
    </row>
    <row r="118" spans="1:21" x14ac:dyDescent="0.2">
      <c r="B118" s="7" t="s">
        <v>154</v>
      </c>
      <c r="C118" s="7" t="s">
        <v>186</v>
      </c>
      <c r="D118" s="7" t="s">
        <v>187</v>
      </c>
      <c r="E118" s="7" t="s">
        <v>188</v>
      </c>
      <c r="F118" s="7" t="s">
        <v>189</v>
      </c>
      <c r="G118" s="7"/>
      <c r="H118" s="7"/>
      <c r="I118" s="7"/>
      <c r="J118" s="7"/>
      <c r="K118" s="13"/>
      <c r="L118" s="14"/>
      <c r="M118" s="15"/>
      <c r="N118" s="15"/>
      <c r="O118" s="15"/>
      <c r="P118" s="15"/>
      <c r="Q118" s="15"/>
      <c r="R118" s="15"/>
      <c r="S118" s="15"/>
      <c r="T118" s="15"/>
      <c r="U118" s="7" t="s">
        <v>172</v>
      </c>
    </row>
    <row r="119" spans="1:21" x14ac:dyDescent="0.2">
      <c r="B119" s="9" t="s">
        <v>0</v>
      </c>
      <c r="C119" s="9" t="s">
        <v>14</v>
      </c>
      <c r="D119" s="9" t="s">
        <v>15</v>
      </c>
      <c r="E119" s="9" t="s">
        <v>17</v>
      </c>
      <c r="F119" s="9" t="s">
        <v>16</v>
      </c>
      <c r="G119" s="9"/>
      <c r="H119" s="9"/>
      <c r="I119" s="9"/>
      <c r="J119" s="9"/>
      <c r="K119" s="16"/>
      <c r="L119" s="17"/>
      <c r="M119" s="17"/>
      <c r="N119" s="17"/>
      <c r="O119" s="17"/>
      <c r="P119" s="17"/>
      <c r="Q119" s="17"/>
      <c r="R119" s="17"/>
      <c r="S119" s="17"/>
      <c r="T119" s="17"/>
      <c r="U119" s="9" t="s">
        <v>46</v>
      </c>
    </row>
    <row r="120" spans="1:21" x14ac:dyDescent="0.2">
      <c r="B120" t="s">
        <v>0</v>
      </c>
      <c r="C120" t="s">
        <v>14</v>
      </c>
      <c r="D120" t="s">
        <v>15</v>
      </c>
      <c r="E120" t="s">
        <v>17</v>
      </c>
      <c r="F120" t="s">
        <v>16</v>
      </c>
      <c r="L120" s="12"/>
      <c r="M120" s="12"/>
      <c r="N120" s="12"/>
      <c r="O120" s="12"/>
      <c r="P120" s="12"/>
      <c r="Q120" s="12"/>
      <c r="R120" s="12"/>
      <c r="S120" s="12"/>
      <c r="T120" s="12"/>
      <c r="U120" t="s">
        <v>46</v>
      </c>
    </row>
    <row r="121" spans="1:21" x14ac:dyDescent="0.2">
      <c r="A121" s="11" t="s">
        <v>95</v>
      </c>
      <c r="B121" t="str">
        <f>INDEX($A$1:$AW$92,MATCH($A$121,$A$1:$A$92,0),MATCH(B120,$A$1:$AW$1,0))</f>
        <v>SU-24</v>
      </c>
      <c r="C121" s="19">
        <f>INDEX($A$1:$AW$92,MATCH($A$121,$A$1:$A$92,0),MATCH(C120,$A$1:$AW$1,0))</f>
        <v>0.58371527777777776</v>
      </c>
      <c r="D121" s="5">
        <f>INDEX($A$1:$AW$92,MATCH($A$121,$A$1:$A$92,0),MATCH(D120,$A$1:$AW$1,0))</f>
        <v>43195</v>
      </c>
      <c r="E121" t="str">
        <f>INDEX($A$1:$AW$92,MATCH($A$121,$A$1:$A$92,0),MATCH(E120,$A$1:$AW$1,0))</f>
        <v>n</v>
      </c>
      <c r="F121">
        <f>INDEX($A$1:$AW$92,MATCH($A$121,$A$1:$A$92,0),MATCH(F120,$A$1:$AW$1,0))</f>
        <v>45</v>
      </c>
      <c r="L121" s="12"/>
      <c r="M121" s="12"/>
      <c r="N121" s="12"/>
      <c r="O121" s="12"/>
      <c r="P121" s="12"/>
      <c r="Q121" s="12"/>
      <c r="R121" s="12"/>
      <c r="S121" s="12"/>
      <c r="T121" s="12"/>
      <c r="U121" t="str">
        <f>INDEX($A$1:$AW$92,MATCH($A$121,$A$1:$A$92,0),MATCH(U120,$A$1:$AW$1,0))</f>
        <v>NA</v>
      </c>
    </row>
  </sheetData>
  <dataValidations count="2">
    <dataValidation type="list" allowBlank="1" showInputMessage="1" showErrorMessage="1" sqref="B98:Y98 B112:Y112 U104 B105:T105 V105:Y105 B120:Y120" xr:uid="{BF10B34D-B741-5E40-8E10-B375D0227091}">
      <formula1>$1:$1</formula1>
    </dataValidation>
    <dataValidation type="list" allowBlank="1" showInputMessage="1" showErrorMessage="1" sqref="A99 A106 A113 A121" xr:uid="{C857FC78-F0D3-074B-93E2-3D74A393F114}">
      <formula1>$A$2:$A$92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726A-CB8D-054C-B2C8-BCB3A86B7355}">
  <dimension ref="A1:AW165"/>
  <sheetViews>
    <sheetView topLeftCell="A49" workbookViewId="0">
      <selection activeCell="G97" sqref="G97"/>
    </sheetView>
  </sheetViews>
  <sheetFormatPr defaultColWidth="11.42578125" defaultRowHeight="12.75" x14ac:dyDescent="0.2"/>
  <sheetData>
    <row r="1" spans="1:49" x14ac:dyDescent="0.2">
      <c r="A1" t="s">
        <v>198</v>
      </c>
    </row>
    <row r="2" spans="1:49" x14ac:dyDescent="0.2">
      <c r="A2" t="s">
        <v>199</v>
      </c>
    </row>
    <row r="3" spans="1:49" x14ac:dyDescent="0.2">
      <c r="A3" t="s">
        <v>200</v>
      </c>
    </row>
    <row r="5" spans="1:49" x14ac:dyDescent="0.2">
      <c r="A5" t="s">
        <v>201</v>
      </c>
    </row>
    <row r="11" spans="1:49" ht="14.1" customHeight="1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  <c r="Q11" t="s">
        <v>16</v>
      </c>
      <c r="R11" t="s">
        <v>17</v>
      </c>
      <c r="S11" t="s">
        <v>18</v>
      </c>
      <c r="T11" t="s">
        <v>19</v>
      </c>
      <c r="U11" t="s">
        <v>20</v>
      </c>
      <c r="V11" t="s">
        <v>21</v>
      </c>
      <c r="W11" t="s">
        <v>22</v>
      </c>
      <c r="X11" t="s">
        <v>23</v>
      </c>
      <c r="Y11" t="s">
        <v>24</v>
      </c>
      <c r="Z11" t="s">
        <v>25</v>
      </c>
      <c r="AA11" t="s">
        <v>26</v>
      </c>
      <c r="AB11" t="s">
        <v>27</v>
      </c>
      <c r="AC11" t="s">
        <v>28</v>
      </c>
      <c r="AD11" t="s">
        <v>29</v>
      </c>
      <c r="AE11" t="s">
        <v>30</v>
      </c>
      <c r="AF11" t="s">
        <v>31</v>
      </c>
      <c r="AG11" t="s">
        <v>32</v>
      </c>
      <c r="AH11" t="s">
        <v>33</v>
      </c>
      <c r="AI11" t="s">
        <v>34</v>
      </c>
      <c r="AJ11" t="s">
        <v>35</v>
      </c>
      <c r="AK11" t="s">
        <v>36</v>
      </c>
      <c r="AL11" t="s">
        <v>37</v>
      </c>
      <c r="AM11" t="s">
        <v>38</v>
      </c>
      <c r="AN11" t="s">
        <v>39</v>
      </c>
      <c r="AO11" t="s">
        <v>40</v>
      </c>
      <c r="AP11" t="s">
        <v>41</v>
      </c>
      <c r="AQ11" t="s">
        <v>42</v>
      </c>
      <c r="AR11" t="s">
        <v>43</v>
      </c>
      <c r="AS11" t="s">
        <v>44</v>
      </c>
      <c r="AT11" t="s">
        <v>45</v>
      </c>
      <c r="AU11" t="s">
        <v>46</v>
      </c>
      <c r="AV11" t="s">
        <v>47</v>
      </c>
      <c r="AW11" t="s">
        <v>48</v>
      </c>
    </row>
    <row r="12" spans="1:49" s="1" customFormat="1" ht="14.1" customHeight="1" x14ac:dyDescent="0.2">
      <c r="A12" s="20" t="s">
        <v>0</v>
      </c>
      <c r="B12" s="20" t="s">
        <v>1</v>
      </c>
      <c r="C12" s="20" t="s">
        <v>2</v>
      </c>
      <c r="D12" s="20" t="s">
        <v>3</v>
      </c>
      <c r="E12" s="20" t="s">
        <v>4</v>
      </c>
      <c r="F12" s="20" t="s">
        <v>5</v>
      </c>
      <c r="G12" s="20" t="s">
        <v>6</v>
      </c>
      <c r="H12" s="20" t="s">
        <v>7</v>
      </c>
      <c r="I12" s="20" t="s">
        <v>8</v>
      </c>
      <c r="J12" s="20" t="s">
        <v>9</v>
      </c>
      <c r="K12" s="20" t="s">
        <v>10</v>
      </c>
      <c r="L12" s="20" t="s">
        <v>11</v>
      </c>
      <c r="M12" s="20" t="s">
        <v>12</v>
      </c>
      <c r="N12" s="20" t="s">
        <v>13</v>
      </c>
      <c r="O12" s="20" t="s">
        <v>14</v>
      </c>
      <c r="P12" s="20" t="s">
        <v>15</v>
      </c>
      <c r="Q12" s="20" t="s">
        <v>16</v>
      </c>
      <c r="R12" s="20" t="s">
        <v>17</v>
      </c>
      <c r="S12" s="20" t="s">
        <v>18</v>
      </c>
      <c r="T12" s="20" t="s">
        <v>19</v>
      </c>
      <c r="U12" s="20" t="s">
        <v>20</v>
      </c>
      <c r="V12" s="20" t="s">
        <v>21</v>
      </c>
      <c r="W12" s="20" t="s">
        <v>22</v>
      </c>
      <c r="X12" s="20" t="s">
        <v>23</v>
      </c>
      <c r="Y12" s="20" t="s">
        <v>24</v>
      </c>
      <c r="Z12" s="20" t="s">
        <v>25</v>
      </c>
      <c r="AA12" s="20" t="s">
        <v>26</v>
      </c>
      <c r="AB12" s="20" t="s">
        <v>27</v>
      </c>
      <c r="AC12" s="20" t="s">
        <v>28</v>
      </c>
      <c r="AD12" s="20" t="s">
        <v>29</v>
      </c>
      <c r="AE12" s="20" t="s">
        <v>30</v>
      </c>
      <c r="AF12" s="20" t="s">
        <v>31</v>
      </c>
      <c r="AG12" s="20" t="s">
        <v>32</v>
      </c>
      <c r="AH12" s="20" t="s">
        <v>33</v>
      </c>
      <c r="AI12" s="20" t="s">
        <v>34</v>
      </c>
      <c r="AJ12" s="20" t="s">
        <v>35</v>
      </c>
      <c r="AK12" s="20" t="s">
        <v>36</v>
      </c>
      <c r="AL12" s="20" t="s">
        <v>37</v>
      </c>
      <c r="AM12" s="20" t="s">
        <v>38</v>
      </c>
      <c r="AN12" s="20" t="s">
        <v>39</v>
      </c>
      <c r="AO12" s="20" t="s">
        <v>40</v>
      </c>
      <c r="AP12" s="20" t="s">
        <v>41</v>
      </c>
      <c r="AQ12" s="20" t="s">
        <v>42</v>
      </c>
      <c r="AR12" s="20" t="s">
        <v>43</v>
      </c>
      <c r="AS12" s="20" t="s">
        <v>44</v>
      </c>
      <c r="AT12" s="20" t="s">
        <v>45</v>
      </c>
      <c r="AU12" s="20" t="s">
        <v>46</v>
      </c>
      <c r="AV12" s="20" t="s">
        <v>47</v>
      </c>
      <c r="AW12" s="20" t="s">
        <v>48</v>
      </c>
    </row>
    <row r="13" spans="1:49" s="1" customFormat="1" ht="14.1" customHeight="1" x14ac:dyDescent="0.2">
      <c r="A13" s="1" t="s">
        <v>49</v>
      </c>
      <c r="B13" s="1">
        <v>1473723.5634522201</v>
      </c>
      <c r="C13" s="1">
        <v>-334920.16357991501</v>
      </c>
      <c r="D13" s="1" t="s">
        <v>50</v>
      </c>
      <c r="E13" s="1">
        <v>1539862.4160863401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6.16</v>
      </c>
      <c r="K13" s="1">
        <v>74.88</v>
      </c>
      <c r="L13" s="1" t="s">
        <v>55</v>
      </c>
      <c r="M13" s="2">
        <v>43194</v>
      </c>
      <c r="N13" s="3">
        <v>0.52083333333333337</v>
      </c>
      <c r="O13" s="4">
        <v>0.52737268518518521</v>
      </c>
      <c r="P13" s="2">
        <v>43195</v>
      </c>
      <c r="Q13" s="1">
        <v>45</v>
      </c>
      <c r="R13" s="1" t="s">
        <v>56</v>
      </c>
      <c r="S13" s="1" t="s">
        <v>54</v>
      </c>
      <c r="T13" s="1" t="s">
        <v>54</v>
      </c>
      <c r="U13" s="1" t="s">
        <v>54</v>
      </c>
      <c r="V13" s="1" t="s">
        <v>54</v>
      </c>
      <c r="W13" s="1" t="s">
        <v>54</v>
      </c>
      <c r="X13" s="1" t="s">
        <v>54</v>
      </c>
      <c r="Y13" s="1" t="s">
        <v>54</v>
      </c>
      <c r="Z13" s="1" t="s">
        <v>54</v>
      </c>
      <c r="AA13" s="1" t="s">
        <v>54</v>
      </c>
      <c r="AB13" s="1" t="s">
        <v>54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57</v>
      </c>
      <c r="AN13" s="1">
        <v>115</v>
      </c>
      <c r="AO13" s="1">
        <v>25</v>
      </c>
      <c r="AP13" s="1" t="s">
        <v>54</v>
      </c>
      <c r="AQ13" s="2">
        <v>43195</v>
      </c>
      <c r="AR13" s="3">
        <v>0.52708333333333335</v>
      </c>
      <c r="AS13" s="1">
        <v>2</v>
      </c>
      <c r="AT13" s="1" t="s">
        <v>54</v>
      </c>
      <c r="AU13" s="1" t="s">
        <v>54</v>
      </c>
      <c r="AV13" s="1">
        <v>36.002138000000002</v>
      </c>
      <c r="AW13" s="1">
        <v>78.634446999999994</v>
      </c>
    </row>
    <row r="14" spans="1:49" s="1" customFormat="1" ht="14.1" customHeight="1" x14ac:dyDescent="0.2">
      <c r="A14" s="20" t="s">
        <v>49</v>
      </c>
      <c r="B14" s="20">
        <v>1473723.5634522201</v>
      </c>
      <c r="C14" s="20">
        <v>-334920.16357991501</v>
      </c>
      <c r="D14" s="20" t="s">
        <v>50</v>
      </c>
      <c r="E14" s="20">
        <v>1539862.4160863401</v>
      </c>
      <c r="F14" s="20" t="s">
        <v>51</v>
      </c>
      <c r="G14" s="20" t="s">
        <v>52</v>
      </c>
      <c r="H14" s="20" t="s">
        <v>53</v>
      </c>
      <c r="I14" s="20" t="s">
        <v>54</v>
      </c>
      <c r="J14" s="20">
        <v>6.16</v>
      </c>
      <c r="K14" s="20">
        <v>74.88</v>
      </c>
      <c r="L14" s="20" t="s">
        <v>55</v>
      </c>
      <c r="M14" s="21">
        <v>43194</v>
      </c>
      <c r="N14" s="22">
        <v>0.52083333333333337</v>
      </c>
      <c r="O14" s="23">
        <v>0.52737268518518521</v>
      </c>
      <c r="P14" s="21">
        <v>43195</v>
      </c>
      <c r="Q14" s="20">
        <v>45</v>
      </c>
      <c r="R14" s="20" t="s">
        <v>56</v>
      </c>
      <c r="S14" s="20" t="s">
        <v>54</v>
      </c>
      <c r="T14" s="20" t="s">
        <v>54</v>
      </c>
      <c r="U14" s="20" t="s">
        <v>54</v>
      </c>
      <c r="V14" s="20" t="s">
        <v>54</v>
      </c>
      <c r="W14" s="20" t="s">
        <v>54</v>
      </c>
      <c r="X14" s="20" t="s">
        <v>54</v>
      </c>
      <c r="Y14" s="20" t="s">
        <v>54</v>
      </c>
      <c r="Z14" s="20" t="s">
        <v>54</v>
      </c>
      <c r="AA14" s="20" t="s">
        <v>54</v>
      </c>
      <c r="AB14" s="20" t="s">
        <v>54</v>
      </c>
      <c r="AC14" s="20" t="s">
        <v>54</v>
      </c>
      <c r="AD14" s="20" t="s">
        <v>54</v>
      </c>
      <c r="AE14" s="20" t="s">
        <v>54</v>
      </c>
      <c r="AF14" s="20" t="s">
        <v>54</v>
      </c>
      <c r="AG14" s="20" t="s">
        <v>54</v>
      </c>
      <c r="AH14" s="20" t="s">
        <v>54</v>
      </c>
      <c r="AI14" s="20" t="s">
        <v>54</v>
      </c>
      <c r="AJ14" s="20" t="s">
        <v>54</v>
      </c>
      <c r="AK14" s="20" t="s">
        <v>54</v>
      </c>
      <c r="AL14" s="20" t="s">
        <v>54</v>
      </c>
      <c r="AM14" s="20" t="s">
        <v>57</v>
      </c>
      <c r="AN14" s="20">
        <v>115</v>
      </c>
      <c r="AO14" s="20">
        <v>25</v>
      </c>
      <c r="AP14" s="20" t="s">
        <v>54</v>
      </c>
      <c r="AQ14" s="21">
        <v>43195</v>
      </c>
      <c r="AR14" s="22">
        <v>0.52708333333333335</v>
      </c>
      <c r="AS14" s="20">
        <v>2</v>
      </c>
      <c r="AT14" s="20" t="s">
        <v>54</v>
      </c>
      <c r="AU14" s="20" t="s">
        <v>54</v>
      </c>
      <c r="AV14" s="20">
        <v>36.002138000000002</v>
      </c>
      <c r="AW14" s="20">
        <v>78.634446999999994</v>
      </c>
    </row>
    <row r="15" spans="1:49" s="1" customFormat="1" ht="14.1" customHeight="1" x14ac:dyDescent="0.2">
      <c r="A15" s="1" t="s">
        <v>58</v>
      </c>
      <c r="B15" s="1">
        <v>1478072.3967247601</v>
      </c>
      <c r="C15" s="1">
        <v>-337204.35121270397</v>
      </c>
      <c r="D15" s="1" t="s">
        <v>59</v>
      </c>
      <c r="E15" s="1">
        <v>1714544.6322379201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6.86</v>
      </c>
      <c r="K15" s="1">
        <v>68.05</v>
      </c>
      <c r="L15" s="1" t="s">
        <v>55</v>
      </c>
      <c r="M15" s="2">
        <v>43194</v>
      </c>
      <c r="N15" s="3">
        <v>0.5541666666666667</v>
      </c>
      <c r="O15" s="3">
        <v>0.56628472222222226</v>
      </c>
      <c r="P15" s="2">
        <v>43195</v>
      </c>
      <c r="Q15" s="1">
        <v>45</v>
      </c>
      <c r="R15" s="1" t="s">
        <v>56</v>
      </c>
      <c r="S15" s="1" t="s">
        <v>54</v>
      </c>
      <c r="T15" s="1" t="s">
        <v>54</v>
      </c>
      <c r="U15" s="1" t="s">
        <v>54</v>
      </c>
      <c r="V15" s="1" t="s">
        <v>54</v>
      </c>
      <c r="W15" s="1" t="s">
        <v>54</v>
      </c>
      <c r="X15" s="1" t="s">
        <v>54</v>
      </c>
      <c r="Y15" s="1" t="s">
        <v>54</v>
      </c>
      <c r="Z15" s="1" t="s">
        <v>54</v>
      </c>
      <c r="AA15" s="1" t="s">
        <v>54</v>
      </c>
      <c r="AB15" s="1" t="s">
        <v>54</v>
      </c>
      <c r="AC15" s="1" t="s">
        <v>54</v>
      </c>
      <c r="AD15" s="1" t="s">
        <v>54</v>
      </c>
      <c r="AE15" s="1" t="s">
        <v>54</v>
      </c>
      <c r="AF15" s="1" t="s">
        <v>54</v>
      </c>
      <c r="AG15" s="1" t="s">
        <v>54</v>
      </c>
      <c r="AH15" s="1" t="s">
        <v>54</v>
      </c>
      <c r="AI15" s="1" t="s">
        <v>54</v>
      </c>
      <c r="AJ15" s="1" t="s">
        <v>54</v>
      </c>
      <c r="AK15" s="1" t="s">
        <v>54</v>
      </c>
      <c r="AL15" s="1" t="s">
        <v>60</v>
      </c>
      <c r="AM15" s="1" t="s">
        <v>61</v>
      </c>
      <c r="AN15" s="1">
        <v>115</v>
      </c>
      <c r="AO15" s="1">
        <v>25</v>
      </c>
      <c r="AP15" s="1">
        <v>760.9</v>
      </c>
      <c r="AQ15" s="2">
        <v>43195</v>
      </c>
      <c r="AR15" s="3">
        <v>0.56597222222222221</v>
      </c>
      <c r="AS15" s="1">
        <v>2</v>
      </c>
      <c r="AT15" s="1" t="s">
        <v>54</v>
      </c>
      <c r="AU15" s="18" t="s">
        <v>192</v>
      </c>
      <c r="AV15" s="1">
        <v>35.976104999999997</v>
      </c>
      <c r="AW15" s="1">
        <v>78.589028999999996</v>
      </c>
    </row>
    <row r="16" spans="1:49" s="1" customFormat="1" ht="14.1" customHeight="1" x14ac:dyDescent="0.2">
      <c r="A16" s="20" t="s">
        <v>58</v>
      </c>
      <c r="B16" s="20">
        <v>1478072.3967247601</v>
      </c>
      <c r="C16" s="20">
        <v>-337204.35121270397</v>
      </c>
      <c r="D16" s="20" t="s">
        <v>59</v>
      </c>
      <c r="E16" s="20">
        <v>1714544.6322379201</v>
      </c>
      <c r="F16" s="20" t="s">
        <v>51</v>
      </c>
      <c r="G16" s="20" t="s">
        <v>52</v>
      </c>
      <c r="H16" s="20" t="s">
        <v>53</v>
      </c>
      <c r="I16" s="20" t="s">
        <v>54</v>
      </c>
      <c r="J16" s="20">
        <v>6.86</v>
      </c>
      <c r="K16" s="20">
        <v>68.05</v>
      </c>
      <c r="L16" s="20" t="s">
        <v>55</v>
      </c>
      <c r="M16" s="21">
        <v>43194</v>
      </c>
      <c r="N16" s="22">
        <v>0.5541666666666667</v>
      </c>
      <c r="O16" s="22">
        <v>0.56628472222222226</v>
      </c>
      <c r="P16" s="21">
        <v>43195</v>
      </c>
      <c r="Q16" s="20">
        <v>45</v>
      </c>
      <c r="R16" s="20" t="s">
        <v>56</v>
      </c>
      <c r="S16" s="20" t="s">
        <v>54</v>
      </c>
      <c r="T16" s="20" t="s">
        <v>54</v>
      </c>
      <c r="U16" s="20" t="s">
        <v>54</v>
      </c>
      <c r="V16" s="20" t="s">
        <v>54</v>
      </c>
      <c r="W16" s="20" t="s">
        <v>54</v>
      </c>
      <c r="X16" s="20" t="s">
        <v>54</v>
      </c>
      <c r="Y16" s="20" t="s">
        <v>54</v>
      </c>
      <c r="Z16" s="20" t="s">
        <v>54</v>
      </c>
      <c r="AA16" s="20" t="s">
        <v>54</v>
      </c>
      <c r="AB16" s="20" t="s">
        <v>54</v>
      </c>
      <c r="AC16" s="20" t="s">
        <v>54</v>
      </c>
      <c r="AD16" s="20" t="s">
        <v>54</v>
      </c>
      <c r="AE16" s="20" t="s">
        <v>54</v>
      </c>
      <c r="AF16" s="20" t="s">
        <v>54</v>
      </c>
      <c r="AG16" s="20" t="s">
        <v>54</v>
      </c>
      <c r="AH16" s="20" t="s">
        <v>54</v>
      </c>
      <c r="AI16" s="20" t="s">
        <v>54</v>
      </c>
      <c r="AJ16" s="20" t="s">
        <v>54</v>
      </c>
      <c r="AK16" s="20" t="s">
        <v>54</v>
      </c>
      <c r="AL16" s="20" t="s">
        <v>60</v>
      </c>
      <c r="AM16" s="20" t="s">
        <v>61</v>
      </c>
      <c r="AN16" s="20">
        <v>115</v>
      </c>
      <c r="AO16" s="20">
        <v>25</v>
      </c>
      <c r="AP16" s="20">
        <v>760.9</v>
      </c>
      <c r="AQ16" s="21">
        <v>43195</v>
      </c>
      <c r="AR16" s="22">
        <v>0.56597222222222221</v>
      </c>
      <c r="AS16" s="20">
        <v>2</v>
      </c>
      <c r="AT16" s="20" t="s">
        <v>54</v>
      </c>
      <c r="AU16" s="20" t="s">
        <v>54</v>
      </c>
      <c r="AV16" s="20">
        <v>35.976104999999997</v>
      </c>
      <c r="AW16" s="20">
        <v>78.589028999999996</v>
      </c>
    </row>
    <row r="17" spans="1:49" ht="14.1" customHeight="1" x14ac:dyDescent="0.2">
      <c r="A17" s="1" t="s">
        <v>62</v>
      </c>
      <c r="B17" s="1">
        <v>1464387.0676538299</v>
      </c>
      <c r="C17" s="1">
        <v>-332897.97117518802</v>
      </c>
      <c r="D17" s="1" t="s">
        <v>63</v>
      </c>
      <c r="E17" s="1">
        <v>2431945.9785411698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9.73</v>
      </c>
      <c r="K17" s="1">
        <v>34.1</v>
      </c>
      <c r="L17" s="1" t="s">
        <v>55</v>
      </c>
      <c r="M17" s="2">
        <v>43194</v>
      </c>
      <c r="N17" s="3">
        <v>0.45624999999999999</v>
      </c>
      <c r="O17" s="4">
        <v>0.46427083333333335</v>
      </c>
      <c r="P17" s="2">
        <v>43195</v>
      </c>
      <c r="Q17" s="1">
        <v>45</v>
      </c>
      <c r="R17" s="1" t="s">
        <v>56</v>
      </c>
      <c r="S17" s="1">
        <v>1.8</v>
      </c>
      <c r="T17" s="1">
        <v>0.1</v>
      </c>
      <c r="U17" s="1">
        <v>16.41</v>
      </c>
      <c r="V17" s="1">
        <v>101.3</v>
      </c>
      <c r="W17" s="1">
        <v>9.93</v>
      </c>
      <c r="X17" s="1">
        <v>0.129</v>
      </c>
      <c r="Y17" s="1">
        <v>7.99</v>
      </c>
      <c r="Z17" s="1" t="s">
        <v>54</v>
      </c>
      <c r="AA17" s="1">
        <v>16</v>
      </c>
      <c r="AB17" s="1">
        <v>8.6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64</v>
      </c>
      <c r="AN17" s="1">
        <v>115</v>
      </c>
      <c r="AO17" s="1">
        <v>25</v>
      </c>
      <c r="AP17" s="1" t="s">
        <v>54</v>
      </c>
      <c r="AQ17" s="2">
        <v>43195</v>
      </c>
      <c r="AR17" s="3">
        <v>0.46388888888888885</v>
      </c>
      <c r="AS17" s="1">
        <v>2</v>
      </c>
      <c r="AT17" s="1" t="s">
        <v>54</v>
      </c>
      <c r="AU17" s="1" t="s">
        <v>54</v>
      </c>
      <c r="AV17" s="1">
        <v>36.032317999999997</v>
      </c>
      <c r="AW17" s="1">
        <v>78.736818999999997</v>
      </c>
    </row>
    <row r="18" spans="1:49" s="1" customFormat="1" ht="14.1" customHeight="1" x14ac:dyDescent="0.2">
      <c r="A18" s="20" t="s">
        <v>62</v>
      </c>
      <c r="B18" s="20">
        <v>1464387.0676538299</v>
      </c>
      <c r="C18" s="20">
        <v>-332897.97117518802</v>
      </c>
      <c r="D18" s="20" t="s">
        <v>63</v>
      </c>
      <c r="E18" s="20">
        <v>2431945.9785411698</v>
      </c>
      <c r="F18" s="20" t="s">
        <v>51</v>
      </c>
      <c r="G18" s="20" t="s">
        <v>52</v>
      </c>
      <c r="H18" s="20" t="s">
        <v>53</v>
      </c>
      <c r="I18" s="20" t="s">
        <v>54</v>
      </c>
      <c r="J18" s="20">
        <v>9.73</v>
      </c>
      <c r="K18" s="20">
        <v>34.1</v>
      </c>
      <c r="L18" s="20" t="s">
        <v>55</v>
      </c>
      <c r="M18" s="21">
        <v>43194</v>
      </c>
      <c r="N18" s="22">
        <v>0.45624999999999999</v>
      </c>
      <c r="O18" s="23">
        <v>0.46427083333333335</v>
      </c>
      <c r="P18" s="21">
        <v>43195</v>
      </c>
      <c r="Q18" s="20">
        <v>45</v>
      </c>
      <c r="R18" s="20" t="s">
        <v>56</v>
      </c>
      <c r="S18" s="20">
        <v>1.8</v>
      </c>
      <c r="T18" s="20">
        <v>0.1</v>
      </c>
      <c r="U18" s="20">
        <v>16.41</v>
      </c>
      <c r="V18" s="20">
        <v>101.3</v>
      </c>
      <c r="W18" s="20">
        <v>9.93</v>
      </c>
      <c r="X18" s="20">
        <v>0.129</v>
      </c>
      <c r="Y18" s="20">
        <v>7.99</v>
      </c>
      <c r="Z18" s="20" t="s">
        <v>54</v>
      </c>
      <c r="AA18" s="20">
        <v>16</v>
      </c>
      <c r="AB18" s="20">
        <v>8.6</v>
      </c>
      <c r="AC18" s="20" t="s">
        <v>54</v>
      </c>
      <c r="AD18" s="20" t="s">
        <v>54</v>
      </c>
      <c r="AE18" s="20" t="s">
        <v>54</v>
      </c>
      <c r="AF18" s="20" t="s">
        <v>54</v>
      </c>
      <c r="AG18" s="20" t="s">
        <v>54</v>
      </c>
      <c r="AH18" s="20" t="s">
        <v>54</v>
      </c>
      <c r="AI18" s="20" t="s">
        <v>54</v>
      </c>
      <c r="AJ18" s="20" t="s">
        <v>54</v>
      </c>
      <c r="AK18" s="20" t="s">
        <v>54</v>
      </c>
      <c r="AL18" s="20" t="s">
        <v>54</v>
      </c>
      <c r="AM18" s="20" t="s">
        <v>64</v>
      </c>
      <c r="AN18" s="20">
        <v>115</v>
      </c>
      <c r="AO18" s="20">
        <v>25</v>
      </c>
      <c r="AP18" s="20" t="s">
        <v>54</v>
      </c>
      <c r="AQ18" s="21">
        <v>43195</v>
      </c>
      <c r="AR18" s="22">
        <v>0.46388888888888885</v>
      </c>
      <c r="AS18" s="20">
        <v>2</v>
      </c>
      <c r="AT18" s="20" t="s">
        <v>54</v>
      </c>
      <c r="AU18" s="20" t="s">
        <v>54</v>
      </c>
      <c r="AV18" s="20">
        <v>36.032317999999997</v>
      </c>
      <c r="AW18" s="20">
        <v>78.736818999999997</v>
      </c>
    </row>
    <row r="19" spans="1:49" s="1" customFormat="1" ht="14.1" customHeight="1" x14ac:dyDescent="0.2">
      <c r="A19" s="1" t="s">
        <v>65</v>
      </c>
      <c r="B19" s="1">
        <v>1462854.58357074</v>
      </c>
      <c r="C19" s="1">
        <v>-335718.99256756902</v>
      </c>
      <c r="D19" s="1" t="s">
        <v>63</v>
      </c>
      <c r="E19" s="1">
        <v>2431945.9785411698</v>
      </c>
      <c r="F19" s="1" t="s">
        <v>51</v>
      </c>
      <c r="G19" s="1" t="s">
        <v>52</v>
      </c>
      <c r="H19" s="1" t="s">
        <v>53</v>
      </c>
      <c r="I19" s="1" t="s">
        <v>54</v>
      </c>
      <c r="J19" s="1">
        <v>9.73</v>
      </c>
      <c r="K19" s="1">
        <v>34.1</v>
      </c>
      <c r="L19" s="1" t="s">
        <v>55</v>
      </c>
      <c r="M19" s="2">
        <v>43194</v>
      </c>
      <c r="N19" s="3">
        <v>0.4465277777777778</v>
      </c>
      <c r="O19" s="4">
        <v>0.45065972222222223</v>
      </c>
      <c r="P19" s="2">
        <v>43195</v>
      </c>
      <c r="Q19" s="1">
        <v>45</v>
      </c>
      <c r="R19" s="1" t="s">
        <v>56</v>
      </c>
      <c r="S19" s="1">
        <v>1.2</v>
      </c>
      <c r="T19" s="1">
        <v>0.1</v>
      </c>
      <c r="U19" s="1">
        <v>15.45</v>
      </c>
      <c r="V19" s="1">
        <v>91.7</v>
      </c>
      <c r="W19" s="1">
        <v>9.15</v>
      </c>
      <c r="X19" s="1">
        <v>0.13</v>
      </c>
      <c r="Y19" s="1">
        <v>8.02</v>
      </c>
      <c r="Z19" s="1" t="s">
        <v>54</v>
      </c>
      <c r="AA19" s="1">
        <v>25.9</v>
      </c>
      <c r="AB19" s="1">
        <v>9.3000000000000007</v>
      </c>
      <c r="AC19" s="1" t="s">
        <v>54</v>
      </c>
      <c r="AD19" s="1" t="s">
        <v>54</v>
      </c>
      <c r="AE19" s="1" t="s">
        <v>54</v>
      </c>
      <c r="AF19" s="1" t="s">
        <v>54</v>
      </c>
      <c r="AG19" s="1" t="s">
        <v>54</v>
      </c>
      <c r="AH19" s="1" t="s">
        <v>54</v>
      </c>
      <c r="AI19" s="1" t="s">
        <v>54</v>
      </c>
      <c r="AJ19" s="1" t="s">
        <v>54</v>
      </c>
      <c r="AK19" s="1" t="s">
        <v>54</v>
      </c>
      <c r="AL19" s="1" t="s">
        <v>54</v>
      </c>
      <c r="AM19" s="1" t="s">
        <v>66</v>
      </c>
      <c r="AN19" s="1">
        <v>115</v>
      </c>
      <c r="AO19" s="1">
        <v>25</v>
      </c>
      <c r="AP19" s="1" t="s">
        <v>54</v>
      </c>
      <c r="AQ19" s="2">
        <v>43195</v>
      </c>
      <c r="AR19" s="3">
        <v>0.45069444444444445</v>
      </c>
      <c r="AS19" s="1">
        <v>0</v>
      </c>
      <c r="AT19" s="1" t="s">
        <v>54</v>
      </c>
      <c r="AU19" s="1" t="s">
        <v>54</v>
      </c>
      <c r="AV19" s="1">
        <v>36.012140000000002</v>
      </c>
      <c r="AW19" s="1">
        <v>78.760903999999996</v>
      </c>
    </row>
    <row r="20" spans="1:49" ht="14.1" customHeight="1" x14ac:dyDescent="0.2">
      <c r="A20" s="20" t="s">
        <v>65</v>
      </c>
      <c r="B20" s="20">
        <v>1462854.58357074</v>
      </c>
      <c r="C20" s="20">
        <v>-335718.99256756902</v>
      </c>
      <c r="D20" s="20" t="s">
        <v>63</v>
      </c>
      <c r="E20" s="20">
        <v>2431945.9785411698</v>
      </c>
      <c r="F20" s="20" t="s">
        <v>51</v>
      </c>
      <c r="G20" s="20" t="s">
        <v>52</v>
      </c>
      <c r="H20" s="20" t="s">
        <v>53</v>
      </c>
      <c r="I20" s="20" t="s">
        <v>54</v>
      </c>
      <c r="J20" s="20">
        <v>9.73</v>
      </c>
      <c r="K20" s="20">
        <v>34.1</v>
      </c>
      <c r="L20" s="20" t="s">
        <v>55</v>
      </c>
      <c r="M20" s="21">
        <v>43194</v>
      </c>
      <c r="N20" s="22">
        <v>0.4465277777777778</v>
      </c>
      <c r="O20" s="23">
        <v>0.45065972222222223</v>
      </c>
      <c r="P20" s="21">
        <v>43195</v>
      </c>
      <c r="Q20" s="20">
        <v>45</v>
      </c>
      <c r="R20" s="20" t="s">
        <v>56</v>
      </c>
      <c r="S20" s="20">
        <v>1.2</v>
      </c>
      <c r="T20" s="20">
        <v>0.1</v>
      </c>
      <c r="U20" s="20">
        <v>15.45</v>
      </c>
      <c r="V20" s="20">
        <v>91.7</v>
      </c>
      <c r="W20" s="20">
        <v>9.15</v>
      </c>
      <c r="X20" s="20">
        <v>0.13</v>
      </c>
      <c r="Y20" s="20">
        <v>8.02</v>
      </c>
      <c r="Z20" s="20" t="s">
        <v>54</v>
      </c>
      <c r="AA20" s="20">
        <v>25.9</v>
      </c>
      <c r="AB20" s="20">
        <v>9.3000000000000007</v>
      </c>
      <c r="AC20" s="20" t="s">
        <v>54</v>
      </c>
      <c r="AD20" s="20" t="s">
        <v>54</v>
      </c>
      <c r="AE20" s="20" t="s">
        <v>54</v>
      </c>
      <c r="AF20" s="20" t="s">
        <v>54</v>
      </c>
      <c r="AG20" s="20" t="s">
        <v>54</v>
      </c>
      <c r="AH20" s="20" t="s">
        <v>54</v>
      </c>
      <c r="AI20" s="20" t="s">
        <v>54</v>
      </c>
      <c r="AJ20" s="20" t="s">
        <v>54</v>
      </c>
      <c r="AK20" s="20" t="s">
        <v>54</v>
      </c>
      <c r="AL20" s="20" t="s">
        <v>54</v>
      </c>
      <c r="AM20" s="20" t="s">
        <v>66</v>
      </c>
      <c r="AN20" s="20">
        <v>115</v>
      </c>
      <c r="AO20" s="20">
        <v>25</v>
      </c>
      <c r="AP20" s="20" t="s">
        <v>54</v>
      </c>
      <c r="AQ20" s="21">
        <v>43195</v>
      </c>
      <c r="AR20" s="22">
        <v>0.45069444444444445</v>
      </c>
      <c r="AS20" s="20">
        <v>0</v>
      </c>
      <c r="AT20" s="20" t="s">
        <v>54</v>
      </c>
      <c r="AU20" s="20" t="s">
        <v>54</v>
      </c>
      <c r="AV20" s="20">
        <v>36.012140000000002</v>
      </c>
      <c r="AW20" s="20">
        <v>78.760903999999996</v>
      </c>
    </row>
    <row r="21" spans="1:49" s="1" customFormat="1" ht="14.1" customHeight="1" x14ac:dyDescent="0.2">
      <c r="A21" s="1" t="s">
        <v>67</v>
      </c>
      <c r="B21" s="1">
        <v>1475475.3988174601</v>
      </c>
      <c r="C21" s="1">
        <v>-338391.54240757501</v>
      </c>
      <c r="D21" s="1" t="s">
        <v>59</v>
      </c>
      <c r="E21" s="1">
        <v>1714544.6322379201</v>
      </c>
      <c r="F21" s="1" t="s">
        <v>51</v>
      </c>
      <c r="G21" s="1" t="s">
        <v>52</v>
      </c>
      <c r="H21" s="1" t="s">
        <v>53</v>
      </c>
      <c r="I21" s="1" t="s">
        <v>54</v>
      </c>
      <c r="J21" s="1">
        <v>6.86</v>
      </c>
      <c r="K21" s="1">
        <v>68.05</v>
      </c>
      <c r="L21" s="1" t="s">
        <v>55</v>
      </c>
      <c r="M21" s="2">
        <v>43194</v>
      </c>
      <c r="N21" s="3">
        <v>0.54722222222222217</v>
      </c>
      <c r="O21" s="3">
        <v>0.55733796296296301</v>
      </c>
      <c r="P21" s="2">
        <v>43195</v>
      </c>
      <c r="Q21" s="1">
        <v>45</v>
      </c>
      <c r="R21" s="1" t="s">
        <v>56</v>
      </c>
      <c r="S21" s="1" t="s">
        <v>54</v>
      </c>
      <c r="T21" s="1" t="s">
        <v>54</v>
      </c>
      <c r="U21" s="1" t="s">
        <v>54</v>
      </c>
      <c r="V21" s="1" t="s">
        <v>54</v>
      </c>
      <c r="W21" s="1" t="s">
        <v>54</v>
      </c>
      <c r="X21" s="1" t="s">
        <v>54</v>
      </c>
      <c r="Y21" s="1" t="s">
        <v>54</v>
      </c>
      <c r="Z21" s="1" t="s">
        <v>54</v>
      </c>
      <c r="AA21" s="1" t="s">
        <v>54</v>
      </c>
      <c r="AB21" s="1" t="s">
        <v>54</v>
      </c>
      <c r="AC21" s="1" t="s">
        <v>54</v>
      </c>
      <c r="AD21" s="1" t="s">
        <v>54</v>
      </c>
      <c r="AE21" s="1" t="s">
        <v>54</v>
      </c>
      <c r="AF21" s="1" t="s">
        <v>54</v>
      </c>
      <c r="AG21" s="1" t="s">
        <v>54</v>
      </c>
      <c r="AH21" s="1" t="s">
        <v>54</v>
      </c>
      <c r="AI21" s="1" t="s">
        <v>54</v>
      </c>
      <c r="AJ21" s="1" t="s">
        <v>54</v>
      </c>
      <c r="AK21" s="1" t="s">
        <v>54</v>
      </c>
      <c r="AL21" s="1" t="s">
        <v>54</v>
      </c>
      <c r="AM21" s="1" t="s">
        <v>68</v>
      </c>
      <c r="AN21" s="1">
        <v>115</v>
      </c>
      <c r="AO21" s="1">
        <v>25</v>
      </c>
      <c r="AP21" s="18">
        <v>760.9</v>
      </c>
      <c r="AQ21" s="2">
        <v>43195</v>
      </c>
      <c r="AR21" s="3">
        <v>0.55694444444444446</v>
      </c>
      <c r="AS21" s="1">
        <v>0</v>
      </c>
      <c r="AT21" s="1" t="s">
        <v>54</v>
      </c>
      <c r="AU21" s="1" t="s">
        <v>54</v>
      </c>
      <c r="AV21" s="1">
        <v>35.97007</v>
      </c>
      <c r="AW21" s="1">
        <v>78.621206999999998</v>
      </c>
    </row>
    <row r="22" spans="1:49" s="1" customFormat="1" ht="14.1" customHeight="1" x14ac:dyDescent="0.2">
      <c r="A22" s="20" t="s">
        <v>67</v>
      </c>
      <c r="B22" s="20">
        <v>1475475.3988174601</v>
      </c>
      <c r="C22" s="20">
        <v>-338391.54240757501</v>
      </c>
      <c r="D22" s="20" t="s">
        <v>59</v>
      </c>
      <c r="E22" s="20">
        <v>1714544.6322379201</v>
      </c>
      <c r="F22" s="20" t="s">
        <v>51</v>
      </c>
      <c r="G22" s="20" t="s">
        <v>52</v>
      </c>
      <c r="H22" s="20" t="s">
        <v>53</v>
      </c>
      <c r="I22" s="20" t="s">
        <v>54</v>
      </c>
      <c r="J22" s="20">
        <v>6.86</v>
      </c>
      <c r="K22" s="20">
        <v>68.05</v>
      </c>
      <c r="L22" s="20" t="s">
        <v>55</v>
      </c>
      <c r="M22" s="21">
        <v>43194</v>
      </c>
      <c r="N22" s="22">
        <v>0.54722222222222217</v>
      </c>
      <c r="O22" s="22">
        <v>0.55733796296296301</v>
      </c>
      <c r="P22" s="21">
        <v>43195</v>
      </c>
      <c r="Q22" s="20">
        <v>45</v>
      </c>
      <c r="R22" s="20" t="s">
        <v>56</v>
      </c>
      <c r="S22" s="20" t="s">
        <v>54</v>
      </c>
      <c r="T22" s="20" t="s">
        <v>54</v>
      </c>
      <c r="U22" s="20" t="s">
        <v>54</v>
      </c>
      <c r="V22" s="20" t="s">
        <v>54</v>
      </c>
      <c r="W22" s="20" t="s">
        <v>54</v>
      </c>
      <c r="X22" s="20" t="s">
        <v>54</v>
      </c>
      <c r="Y22" s="20" t="s">
        <v>54</v>
      </c>
      <c r="Z22" s="20" t="s">
        <v>54</v>
      </c>
      <c r="AA22" s="20" t="s">
        <v>54</v>
      </c>
      <c r="AB22" s="20" t="s">
        <v>54</v>
      </c>
      <c r="AC22" s="20" t="s">
        <v>54</v>
      </c>
      <c r="AD22" s="20" t="s">
        <v>54</v>
      </c>
      <c r="AE22" s="20" t="s">
        <v>54</v>
      </c>
      <c r="AF22" s="20" t="s">
        <v>54</v>
      </c>
      <c r="AG22" s="20" t="s">
        <v>54</v>
      </c>
      <c r="AH22" s="20" t="s">
        <v>54</v>
      </c>
      <c r="AI22" s="20" t="s">
        <v>54</v>
      </c>
      <c r="AJ22" s="20" t="s">
        <v>54</v>
      </c>
      <c r="AK22" s="20" t="s">
        <v>54</v>
      </c>
      <c r="AL22" s="20" t="s">
        <v>54</v>
      </c>
      <c r="AM22" s="20" t="s">
        <v>68</v>
      </c>
      <c r="AN22" s="20">
        <v>115</v>
      </c>
      <c r="AO22" s="20">
        <v>25</v>
      </c>
      <c r="AP22" s="20" t="s">
        <v>54</v>
      </c>
      <c r="AQ22" s="21">
        <v>43195</v>
      </c>
      <c r="AR22" s="22">
        <v>0.55694444444444446</v>
      </c>
      <c r="AS22" s="20">
        <v>0</v>
      </c>
      <c r="AT22" s="20" t="s">
        <v>54</v>
      </c>
      <c r="AU22" s="20" t="s">
        <v>54</v>
      </c>
      <c r="AV22" s="20">
        <v>35.97007</v>
      </c>
      <c r="AW22" s="20">
        <v>78.621206999999998</v>
      </c>
    </row>
    <row r="23" spans="1:49" s="1" customFormat="1" ht="14.1" customHeight="1" x14ac:dyDescent="0.2">
      <c r="A23" t="s">
        <v>69</v>
      </c>
      <c r="B23">
        <v>1477918.11011576</v>
      </c>
      <c r="C23">
        <v>-336606.27869524597</v>
      </c>
      <c r="D23" t="s">
        <v>59</v>
      </c>
      <c r="E23">
        <v>1714544.6322379201</v>
      </c>
      <c r="F23" t="s">
        <v>51</v>
      </c>
      <c r="G23" t="s">
        <v>52</v>
      </c>
      <c r="H23" s="18" t="s">
        <v>196</v>
      </c>
      <c r="I23" t="s">
        <v>54</v>
      </c>
      <c r="J23">
        <v>6.86</v>
      </c>
      <c r="K23">
        <v>68.05</v>
      </c>
      <c r="L23" t="s">
        <v>55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1:49" s="1" customFormat="1" ht="14.1" customHeight="1" x14ac:dyDescent="0.2">
      <c r="A24" s="20" t="s">
        <v>69</v>
      </c>
      <c r="B24" s="20">
        <v>1477918.11011576</v>
      </c>
      <c r="C24" s="20">
        <v>-336606.27869524597</v>
      </c>
      <c r="D24" s="20" t="s">
        <v>59</v>
      </c>
      <c r="E24" s="20">
        <v>1714544.6322379201</v>
      </c>
      <c r="F24" s="20" t="s">
        <v>51</v>
      </c>
      <c r="G24" s="20" t="s">
        <v>52</v>
      </c>
      <c r="H24" s="20" t="s">
        <v>70</v>
      </c>
      <c r="I24" s="20" t="s">
        <v>54</v>
      </c>
      <c r="J24" s="20">
        <v>6.86</v>
      </c>
      <c r="K24" s="20">
        <v>68.05</v>
      </c>
      <c r="L24" s="20" t="s">
        <v>55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</row>
    <row r="25" spans="1:49" s="1" customFormat="1" ht="14.1" customHeight="1" x14ac:dyDescent="0.2">
      <c r="A25" s="1" t="s">
        <v>71</v>
      </c>
      <c r="B25" s="1">
        <v>1470832.2921865899</v>
      </c>
      <c r="C25" s="1">
        <v>-335045.69332328701</v>
      </c>
      <c r="D25" s="1" t="s">
        <v>50</v>
      </c>
      <c r="E25" s="1">
        <v>1539862.4160863401</v>
      </c>
      <c r="F25" s="1" t="s">
        <v>51</v>
      </c>
      <c r="G25" s="1" t="s">
        <v>52</v>
      </c>
      <c r="H25" s="1" t="s">
        <v>53</v>
      </c>
      <c r="I25" s="1" t="s">
        <v>54</v>
      </c>
      <c r="J25" s="1">
        <v>6.16</v>
      </c>
      <c r="K25" s="1">
        <v>74.88</v>
      </c>
      <c r="L25" s="1" t="s">
        <v>55</v>
      </c>
      <c r="M25" s="2">
        <v>43194</v>
      </c>
      <c r="N25" s="3">
        <v>0.49513888888888885</v>
      </c>
      <c r="O25" s="4">
        <v>0.51649305555555558</v>
      </c>
      <c r="P25" s="2">
        <v>43195</v>
      </c>
      <c r="Q25" s="1">
        <v>45</v>
      </c>
      <c r="R25" s="1" t="s">
        <v>56</v>
      </c>
      <c r="S25" s="1">
        <v>8</v>
      </c>
      <c r="T25" s="1">
        <v>0.1</v>
      </c>
      <c r="U25" s="1">
        <v>15.58</v>
      </c>
      <c r="V25" s="1">
        <v>106.1</v>
      </c>
      <c r="W25" s="1">
        <v>10.47</v>
      </c>
      <c r="X25" s="1">
        <v>0.14299999999999999</v>
      </c>
      <c r="Y25" s="1">
        <v>8.0399999999999991</v>
      </c>
      <c r="Z25" s="1" t="s">
        <v>54</v>
      </c>
      <c r="AA25" s="1">
        <v>8.1999999999999993</v>
      </c>
      <c r="AB25" s="1">
        <v>11</v>
      </c>
      <c r="AC25" s="1">
        <v>7</v>
      </c>
      <c r="AD25" s="1">
        <v>11.93</v>
      </c>
      <c r="AE25" s="1">
        <v>61.1</v>
      </c>
      <c r="AF25" s="1">
        <v>6.63</v>
      </c>
      <c r="AG25" s="1">
        <v>0.14699999999999999</v>
      </c>
      <c r="AH25" s="1">
        <v>7.61</v>
      </c>
      <c r="AI25" s="1" t="s">
        <v>54</v>
      </c>
      <c r="AJ25" s="1">
        <v>11.4</v>
      </c>
      <c r="AK25" s="1">
        <v>5.8</v>
      </c>
      <c r="AM25" s="1" t="s">
        <v>72</v>
      </c>
      <c r="AN25" s="1">
        <v>115</v>
      </c>
      <c r="AO25" s="1">
        <v>25</v>
      </c>
      <c r="AP25" s="1" t="s">
        <v>54</v>
      </c>
      <c r="AQ25" s="2">
        <v>43195</v>
      </c>
      <c r="AR25" s="3">
        <v>0.51597222222222217</v>
      </c>
      <c r="AS25" s="1">
        <v>0</v>
      </c>
      <c r="AT25" s="1" t="s">
        <v>54</v>
      </c>
      <c r="AU25" s="1" t="s">
        <v>54</v>
      </c>
      <c r="AV25" s="1">
        <v>36.005670000000002</v>
      </c>
      <c r="AW25" s="1">
        <v>78.667749000000001</v>
      </c>
    </row>
    <row r="26" spans="1:49" s="1" customFormat="1" ht="14.1" customHeight="1" x14ac:dyDescent="0.2">
      <c r="A26" s="20" t="s">
        <v>71</v>
      </c>
      <c r="B26" s="20">
        <v>1470832.2921865899</v>
      </c>
      <c r="C26" s="20">
        <v>-335045.69332328701</v>
      </c>
      <c r="D26" s="20" t="s">
        <v>50</v>
      </c>
      <c r="E26" s="20">
        <v>1539862.4160863401</v>
      </c>
      <c r="F26" s="20" t="s">
        <v>51</v>
      </c>
      <c r="G26" s="20" t="s">
        <v>52</v>
      </c>
      <c r="H26" s="20" t="s">
        <v>53</v>
      </c>
      <c r="I26" s="20" t="s">
        <v>54</v>
      </c>
      <c r="J26" s="20">
        <v>6.16</v>
      </c>
      <c r="K26" s="20">
        <v>74.88</v>
      </c>
      <c r="L26" s="20" t="s">
        <v>55</v>
      </c>
      <c r="M26" s="21">
        <v>43194</v>
      </c>
      <c r="N26" s="22">
        <v>0.49513888888888885</v>
      </c>
      <c r="O26" s="23">
        <v>0.51649305555555558</v>
      </c>
      <c r="P26" s="21">
        <v>43195</v>
      </c>
      <c r="Q26" s="20">
        <v>45</v>
      </c>
      <c r="R26" s="20" t="s">
        <v>56</v>
      </c>
      <c r="S26" s="20">
        <v>8</v>
      </c>
      <c r="T26" s="20">
        <v>0.1</v>
      </c>
      <c r="U26" s="20">
        <v>15.58</v>
      </c>
      <c r="V26" s="20">
        <v>106.1</v>
      </c>
      <c r="W26" s="20">
        <v>10.47</v>
      </c>
      <c r="X26" s="20">
        <v>0.14299999999999999</v>
      </c>
      <c r="Y26" s="20">
        <v>8.0399999999999991</v>
      </c>
      <c r="Z26" s="20" t="s">
        <v>54</v>
      </c>
      <c r="AA26" s="20">
        <v>8.1999999999999993</v>
      </c>
      <c r="AB26" s="20">
        <v>11</v>
      </c>
      <c r="AC26" s="20">
        <v>7</v>
      </c>
      <c r="AD26" s="20">
        <v>11.93</v>
      </c>
      <c r="AE26" s="20">
        <v>61.1</v>
      </c>
      <c r="AF26" s="20">
        <v>6.63</v>
      </c>
      <c r="AG26" s="20">
        <v>0.14699999999999999</v>
      </c>
      <c r="AH26" s="20">
        <v>7.61</v>
      </c>
      <c r="AI26" s="20" t="s">
        <v>54</v>
      </c>
      <c r="AJ26" s="20">
        <v>11.4</v>
      </c>
      <c r="AK26" s="20">
        <v>5.8</v>
      </c>
      <c r="AL26" s="20"/>
      <c r="AM26" s="20" t="s">
        <v>72</v>
      </c>
      <c r="AN26" s="20">
        <v>115</v>
      </c>
      <c r="AO26" s="20">
        <v>25</v>
      </c>
      <c r="AP26" s="20" t="s">
        <v>54</v>
      </c>
      <c r="AQ26" s="21">
        <v>43195</v>
      </c>
      <c r="AR26" s="22">
        <v>0.51597222222222217</v>
      </c>
      <c r="AS26" s="20">
        <v>0</v>
      </c>
      <c r="AT26" s="20" t="s">
        <v>54</v>
      </c>
      <c r="AU26" s="20" t="s">
        <v>54</v>
      </c>
      <c r="AV26" s="20">
        <v>36.005670000000002</v>
      </c>
      <c r="AW26" s="20">
        <v>78.667749000000001</v>
      </c>
    </row>
    <row r="27" spans="1:49" s="1" customFormat="1" ht="14.1" customHeight="1" x14ac:dyDescent="0.2">
      <c r="A27" s="1" t="s">
        <v>73</v>
      </c>
      <c r="B27" s="1">
        <v>1463782.2359781801</v>
      </c>
      <c r="C27" s="1">
        <v>-334735.986739307</v>
      </c>
      <c r="D27" s="1" t="s">
        <v>63</v>
      </c>
      <c r="E27" s="1">
        <v>2431945.9785411698</v>
      </c>
      <c r="F27" s="1" t="s">
        <v>51</v>
      </c>
      <c r="G27" s="1" t="s">
        <v>52</v>
      </c>
      <c r="H27" s="1" t="s">
        <v>53</v>
      </c>
      <c r="I27" s="1" t="s">
        <v>54</v>
      </c>
      <c r="J27" s="1">
        <v>9.73</v>
      </c>
      <c r="K27" s="1">
        <v>34.1</v>
      </c>
      <c r="L27" s="1" t="s">
        <v>55</v>
      </c>
      <c r="M27" s="2">
        <v>43194</v>
      </c>
      <c r="N27" s="3">
        <v>0.4513888888888889</v>
      </c>
      <c r="O27" s="4">
        <v>0.4584375</v>
      </c>
      <c r="P27" s="2">
        <v>43195</v>
      </c>
      <c r="Q27" s="1">
        <v>45</v>
      </c>
      <c r="R27" s="1" t="s">
        <v>56</v>
      </c>
      <c r="S27" s="1">
        <v>4</v>
      </c>
      <c r="T27" s="1">
        <v>0.1</v>
      </c>
      <c r="U27" s="1">
        <v>15.24</v>
      </c>
      <c r="V27" s="1">
        <v>95.2</v>
      </c>
      <c r="W27" s="1">
        <v>9.5500000000000007</v>
      </c>
      <c r="X27" s="1">
        <v>0.128</v>
      </c>
      <c r="Y27" s="1">
        <v>8</v>
      </c>
      <c r="Z27" s="1" t="s">
        <v>54</v>
      </c>
      <c r="AA27" s="1">
        <v>15.8</v>
      </c>
      <c r="AB27" s="1">
        <v>6.4</v>
      </c>
      <c r="AC27" s="1" t="s">
        <v>54</v>
      </c>
      <c r="AD27" s="1" t="s">
        <v>54</v>
      </c>
      <c r="AE27" s="1" t="s">
        <v>54</v>
      </c>
      <c r="AF27" s="1" t="s">
        <v>54</v>
      </c>
      <c r="AG27" s="1" t="s">
        <v>54</v>
      </c>
      <c r="AH27" s="1" t="s">
        <v>54</v>
      </c>
      <c r="AI27" s="1" t="s">
        <v>54</v>
      </c>
      <c r="AJ27" s="1" t="s">
        <v>54</v>
      </c>
      <c r="AK27" s="1" t="s">
        <v>54</v>
      </c>
      <c r="AL27" s="1" t="s">
        <v>54</v>
      </c>
      <c r="AM27" s="1" t="s">
        <v>54</v>
      </c>
      <c r="AN27" s="1" t="s">
        <v>54</v>
      </c>
      <c r="AO27" s="1" t="s">
        <v>54</v>
      </c>
      <c r="AP27" s="1" t="s">
        <v>54</v>
      </c>
      <c r="AQ27" s="2">
        <v>43195</v>
      </c>
      <c r="AR27" s="3">
        <v>0.45833333333333331</v>
      </c>
      <c r="AS27" s="1">
        <v>0</v>
      </c>
      <c r="AT27" s="1" t="s">
        <v>74</v>
      </c>
      <c r="AU27" s="18" t="s">
        <v>74</v>
      </c>
      <c r="AV27" s="1">
        <v>36.018825</v>
      </c>
      <c r="AW27" s="1">
        <v>78.748925999999997</v>
      </c>
    </row>
    <row r="28" spans="1:49" ht="14.1" customHeight="1" x14ac:dyDescent="0.2">
      <c r="A28" s="20" t="s">
        <v>73</v>
      </c>
      <c r="B28" s="20">
        <v>1463782.2359781801</v>
      </c>
      <c r="C28" s="20">
        <v>-334735.986739307</v>
      </c>
      <c r="D28" s="20" t="s">
        <v>63</v>
      </c>
      <c r="E28" s="20">
        <v>2431945.9785411698</v>
      </c>
      <c r="F28" s="20" t="s">
        <v>51</v>
      </c>
      <c r="G28" s="20" t="s">
        <v>52</v>
      </c>
      <c r="H28" s="20" t="s">
        <v>53</v>
      </c>
      <c r="I28" s="20" t="s">
        <v>54</v>
      </c>
      <c r="J28" s="20">
        <v>9.73</v>
      </c>
      <c r="K28" s="20">
        <v>34.1</v>
      </c>
      <c r="L28" s="20" t="s">
        <v>55</v>
      </c>
      <c r="M28" s="21">
        <v>43194</v>
      </c>
      <c r="N28" s="22">
        <v>0.4513888888888889</v>
      </c>
      <c r="O28" s="23">
        <v>0.4584375</v>
      </c>
      <c r="P28" s="21">
        <v>43195</v>
      </c>
      <c r="Q28" s="20">
        <v>45</v>
      </c>
      <c r="R28" s="20" t="s">
        <v>56</v>
      </c>
      <c r="S28" s="20">
        <v>4</v>
      </c>
      <c r="T28" s="20">
        <v>0.1</v>
      </c>
      <c r="U28" s="20">
        <v>15.24</v>
      </c>
      <c r="V28" s="20">
        <v>95.2</v>
      </c>
      <c r="W28" s="20">
        <v>9.5500000000000007</v>
      </c>
      <c r="X28" s="20">
        <v>0.128</v>
      </c>
      <c r="Y28" s="20">
        <v>8</v>
      </c>
      <c r="Z28" s="20" t="s">
        <v>54</v>
      </c>
      <c r="AA28" s="20">
        <v>15.8</v>
      </c>
      <c r="AB28" s="20">
        <v>6.4</v>
      </c>
      <c r="AC28" s="20" t="s">
        <v>54</v>
      </c>
      <c r="AD28" s="20" t="s">
        <v>54</v>
      </c>
      <c r="AE28" s="20" t="s">
        <v>54</v>
      </c>
      <c r="AF28" s="20" t="s">
        <v>54</v>
      </c>
      <c r="AG28" s="20" t="s">
        <v>54</v>
      </c>
      <c r="AH28" s="20" t="s">
        <v>54</v>
      </c>
      <c r="AI28" s="20" t="s">
        <v>54</v>
      </c>
      <c r="AJ28" s="20" t="s">
        <v>54</v>
      </c>
      <c r="AK28" s="20" t="s">
        <v>54</v>
      </c>
      <c r="AL28" s="20" t="s">
        <v>54</v>
      </c>
      <c r="AM28" s="20" t="s">
        <v>54</v>
      </c>
      <c r="AN28" s="20" t="s">
        <v>54</v>
      </c>
      <c r="AO28" s="20" t="s">
        <v>54</v>
      </c>
      <c r="AP28" s="20" t="s">
        <v>54</v>
      </c>
      <c r="AQ28" s="21">
        <v>43195</v>
      </c>
      <c r="AR28" s="22">
        <v>0.45833333333333331</v>
      </c>
      <c r="AS28" s="20">
        <v>0</v>
      </c>
      <c r="AT28" s="20" t="s">
        <v>74</v>
      </c>
      <c r="AU28" s="20"/>
      <c r="AV28" s="20">
        <v>36.018825</v>
      </c>
      <c r="AW28" s="20">
        <v>78.748925999999997</v>
      </c>
    </row>
    <row r="29" spans="1:49" ht="14.1" customHeight="1" x14ac:dyDescent="0.2">
      <c r="A29" t="s">
        <v>75</v>
      </c>
      <c r="B29">
        <v>1471191.0327598799</v>
      </c>
      <c r="C29">
        <v>-335666.82881650003</v>
      </c>
      <c r="D29" t="s">
        <v>50</v>
      </c>
      <c r="E29">
        <v>1539862.4160863401</v>
      </c>
      <c r="F29" t="s">
        <v>51</v>
      </c>
      <c r="G29" t="s">
        <v>52</v>
      </c>
      <c r="H29" s="18" t="s">
        <v>196</v>
      </c>
      <c r="I29" t="s">
        <v>54</v>
      </c>
      <c r="J29">
        <v>6.16</v>
      </c>
      <c r="K29">
        <v>74.88</v>
      </c>
      <c r="L29" t="s">
        <v>55</v>
      </c>
    </row>
    <row r="30" spans="1:49" ht="14.1" customHeight="1" x14ac:dyDescent="0.2">
      <c r="A30" s="20" t="s">
        <v>75</v>
      </c>
      <c r="B30" s="20">
        <v>1471191.0327598799</v>
      </c>
      <c r="C30" s="20">
        <v>-335666.82881650003</v>
      </c>
      <c r="D30" s="20" t="s">
        <v>50</v>
      </c>
      <c r="E30" s="20">
        <v>1539862.4160863401</v>
      </c>
      <c r="F30" s="20" t="s">
        <v>51</v>
      </c>
      <c r="G30" s="20" t="s">
        <v>52</v>
      </c>
      <c r="H30" s="20" t="s">
        <v>70</v>
      </c>
      <c r="I30" s="20" t="s">
        <v>54</v>
      </c>
      <c r="J30" s="20">
        <v>6.16</v>
      </c>
      <c r="K30" s="20">
        <v>74.88</v>
      </c>
      <c r="L30" s="20" t="s">
        <v>55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</row>
    <row r="31" spans="1:49" ht="14.1" customHeight="1" x14ac:dyDescent="0.2">
      <c r="A31" s="1" t="s">
        <v>76</v>
      </c>
      <c r="B31" s="1">
        <v>1462680.4677613</v>
      </c>
      <c r="C31" s="1">
        <v>-332462.20717664203</v>
      </c>
      <c r="D31" s="1" t="s">
        <v>63</v>
      </c>
      <c r="E31" s="1">
        <v>2431945.9785411698</v>
      </c>
      <c r="F31" s="1" t="s">
        <v>51</v>
      </c>
      <c r="G31" s="1" t="s">
        <v>52</v>
      </c>
      <c r="H31" s="1" t="s">
        <v>53</v>
      </c>
      <c r="I31" s="1" t="s">
        <v>54</v>
      </c>
      <c r="J31" s="1">
        <v>9.73</v>
      </c>
      <c r="K31" s="1">
        <v>34.1</v>
      </c>
      <c r="L31" s="1" t="s">
        <v>55</v>
      </c>
      <c r="M31" s="2">
        <v>43194</v>
      </c>
      <c r="N31" s="3">
        <v>0.4381944444444445</v>
      </c>
      <c r="O31" s="4">
        <v>0.44262731481481482</v>
      </c>
      <c r="P31" s="2">
        <v>43195</v>
      </c>
      <c r="Q31" s="1">
        <v>45</v>
      </c>
      <c r="R31" s="1" t="s">
        <v>56</v>
      </c>
      <c r="S31" s="1">
        <v>1.7</v>
      </c>
      <c r="T31" s="1">
        <v>0.1</v>
      </c>
      <c r="U31" s="1">
        <v>15.9</v>
      </c>
      <c r="V31" s="1">
        <v>98.5</v>
      </c>
      <c r="W31" s="1">
        <v>9.74</v>
      </c>
      <c r="X31" s="1">
        <v>0.113</v>
      </c>
      <c r="Y31" s="1">
        <v>8.0500000000000007</v>
      </c>
      <c r="Z31" s="1" t="s">
        <v>54</v>
      </c>
      <c r="AA31" s="1">
        <v>21.3</v>
      </c>
      <c r="AB31" s="1">
        <v>8.1999999999999993</v>
      </c>
      <c r="AC31" s="1" t="s">
        <v>54</v>
      </c>
      <c r="AD31" s="1" t="s">
        <v>54</v>
      </c>
      <c r="AE31" s="1" t="s">
        <v>54</v>
      </c>
      <c r="AF31" s="1" t="s">
        <v>54</v>
      </c>
      <c r="AG31" s="1" t="s">
        <v>54</v>
      </c>
      <c r="AH31" s="1" t="s">
        <v>54</v>
      </c>
      <c r="AI31" s="1" t="s">
        <v>54</v>
      </c>
      <c r="AJ31" s="1" t="s">
        <v>54</v>
      </c>
      <c r="AK31" s="1" t="s">
        <v>54</v>
      </c>
      <c r="AL31" s="1" t="s">
        <v>54</v>
      </c>
      <c r="AM31" s="1" t="s">
        <v>54</v>
      </c>
      <c r="AN31" s="1" t="s">
        <v>54</v>
      </c>
      <c r="AO31" s="1" t="s">
        <v>54</v>
      </c>
      <c r="AP31" s="1" t="s">
        <v>54</v>
      </c>
      <c r="AQ31" s="2">
        <v>43195</v>
      </c>
      <c r="AR31" s="3">
        <v>0.44236111111111115</v>
      </c>
      <c r="AS31" s="1">
        <v>0</v>
      </c>
      <c r="AT31" s="1" t="s">
        <v>54</v>
      </c>
      <c r="AU31" s="1" t="s">
        <v>54</v>
      </c>
      <c r="AV31" s="1">
        <v>36.039793000000003</v>
      </c>
      <c r="AW31" s="1">
        <v>78.756135999999998</v>
      </c>
    </row>
    <row r="32" spans="1:49" s="1" customFormat="1" ht="14.1" customHeight="1" x14ac:dyDescent="0.2">
      <c r="A32" s="20" t="s">
        <v>76</v>
      </c>
      <c r="B32" s="20">
        <v>1462680.4677613</v>
      </c>
      <c r="C32" s="20">
        <v>-332462.20717664203</v>
      </c>
      <c r="D32" s="20" t="s">
        <v>63</v>
      </c>
      <c r="E32" s="20">
        <v>2431945.9785411698</v>
      </c>
      <c r="F32" s="20" t="s">
        <v>51</v>
      </c>
      <c r="G32" s="20" t="s">
        <v>52</v>
      </c>
      <c r="H32" s="20" t="s">
        <v>53</v>
      </c>
      <c r="I32" s="20" t="s">
        <v>54</v>
      </c>
      <c r="J32" s="20">
        <v>9.73</v>
      </c>
      <c r="K32" s="20">
        <v>34.1</v>
      </c>
      <c r="L32" s="20" t="s">
        <v>55</v>
      </c>
      <c r="M32" s="21">
        <v>43194</v>
      </c>
      <c r="N32" s="22">
        <v>0.4381944444444445</v>
      </c>
      <c r="O32" s="23">
        <v>0.44262731481481482</v>
      </c>
      <c r="P32" s="21">
        <v>43195</v>
      </c>
      <c r="Q32" s="20">
        <v>45</v>
      </c>
      <c r="R32" s="20" t="s">
        <v>56</v>
      </c>
      <c r="S32" s="20">
        <v>1.7</v>
      </c>
      <c r="T32" s="20">
        <v>0.1</v>
      </c>
      <c r="U32" s="20">
        <v>15.9</v>
      </c>
      <c r="V32" s="20">
        <v>98.5</v>
      </c>
      <c r="W32" s="20">
        <v>9.74</v>
      </c>
      <c r="X32" s="20">
        <v>0.113</v>
      </c>
      <c r="Y32" s="20">
        <v>8.0500000000000007</v>
      </c>
      <c r="Z32" s="20" t="s">
        <v>54</v>
      </c>
      <c r="AA32" s="20">
        <v>21.3</v>
      </c>
      <c r="AB32" s="20">
        <v>8.1999999999999993</v>
      </c>
      <c r="AC32" s="20" t="s">
        <v>54</v>
      </c>
      <c r="AD32" s="20" t="s">
        <v>54</v>
      </c>
      <c r="AE32" s="20" t="s">
        <v>54</v>
      </c>
      <c r="AF32" s="20" t="s">
        <v>54</v>
      </c>
      <c r="AG32" s="20" t="s">
        <v>54</v>
      </c>
      <c r="AH32" s="20" t="s">
        <v>54</v>
      </c>
      <c r="AI32" s="20" t="s">
        <v>54</v>
      </c>
      <c r="AJ32" s="20" t="s">
        <v>54</v>
      </c>
      <c r="AK32" s="20" t="s">
        <v>54</v>
      </c>
      <c r="AL32" s="20" t="s">
        <v>54</v>
      </c>
      <c r="AM32" s="20" t="s">
        <v>54</v>
      </c>
      <c r="AN32" s="20" t="s">
        <v>54</v>
      </c>
      <c r="AO32" s="20" t="s">
        <v>54</v>
      </c>
      <c r="AP32" s="20" t="s">
        <v>54</v>
      </c>
      <c r="AQ32" s="21">
        <v>43195</v>
      </c>
      <c r="AR32" s="22">
        <v>0.44236111111111115</v>
      </c>
      <c r="AS32" s="20">
        <v>0</v>
      </c>
      <c r="AT32" s="20" t="s">
        <v>54</v>
      </c>
      <c r="AU32" s="20" t="s">
        <v>54</v>
      </c>
      <c r="AV32" s="20">
        <v>36.039793000000003</v>
      </c>
      <c r="AW32" s="20">
        <v>78.756135999999998</v>
      </c>
    </row>
    <row r="33" spans="1:49" ht="14.1" customHeight="1" x14ac:dyDescent="0.2">
      <c r="A33" s="1" t="s">
        <v>77</v>
      </c>
      <c r="B33" s="1">
        <v>1466414.9252194699</v>
      </c>
      <c r="C33" s="1">
        <v>-334215.53306021</v>
      </c>
      <c r="D33" s="1" t="s">
        <v>63</v>
      </c>
      <c r="E33" s="1">
        <v>2431945.9785411698</v>
      </c>
      <c r="F33" s="1" t="s">
        <v>51</v>
      </c>
      <c r="G33" s="1" t="s">
        <v>52</v>
      </c>
      <c r="H33" s="1" t="s">
        <v>53</v>
      </c>
      <c r="I33" s="1" t="s">
        <v>54</v>
      </c>
      <c r="J33" s="1">
        <v>9.73</v>
      </c>
      <c r="K33" s="1">
        <v>34.1</v>
      </c>
      <c r="L33" s="1" t="s">
        <v>55</v>
      </c>
      <c r="M33" s="2">
        <v>43194</v>
      </c>
      <c r="N33" s="3">
        <v>0.48402777777777778</v>
      </c>
      <c r="O33" s="4">
        <v>0.49840277777777775</v>
      </c>
      <c r="P33" s="2">
        <v>43195</v>
      </c>
      <c r="Q33" s="1">
        <v>50</v>
      </c>
      <c r="R33" s="1" t="s">
        <v>56</v>
      </c>
      <c r="S33" s="18">
        <v>3.1</v>
      </c>
      <c r="T33" s="18">
        <v>0.1</v>
      </c>
      <c r="U33" s="18">
        <v>14.27</v>
      </c>
      <c r="V33" s="18">
        <v>90.2</v>
      </c>
      <c r="W33" s="18">
        <v>9.1999999999999993</v>
      </c>
      <c r="X33" s="18">
        <v>0.14599999999999999</v>
      </c>
      <c r="Y33" s="18">
        <v>7.96</v>
      </c>
      <c r="Z33" s="1" t="s">
        <v>54</v>
      </c>
      <c r="AA33" s="18">
        <v>11.1</v>
      </c>
      <c r="AB33" s="18">
        <v>4.9000000000000004</v>
      </c>
      <c r="AC33" s="1" t="s">
        <v>54</v>
      </c>
      <c r="AD33" s="1" t="s">
        <v>54</v>
      </c>
      <c r="AE33" s="1" t="s">
        <v>54</v>
      </c>
      <c r="AF33" s="1" t="s">
        <v>54</v>
      </c>
      <c r="AG33" s="1" t="s">
        <v>54</v>
      </c>
      <c r="AH33" s="1" t="s">
        <v>54</v>
      </c>
      <c r="AI33" s="1" t="s">
        <v>54</v>
      </c>
      <c r="AJ33" s="1" t="s">
        <v>54</v>
      </c>
      <c r="AK33" s="1" t="s">
        <v>54</v>
      </c>
      <c r="AL33" s="1" t="s">
        <v>54</v>
      </c>
      <c r="AM33" s="1" t="s">
        <v>54</v>
      </c>
      <c r="AN33" s="1" t="s">
        <v>54</v>
      </c>
      <c r="AO33" s="1" t="s">
        <v>54</v>
      </c>
      <c r="AP33" s="1" t="s">
        <v>54</v>
      </c>
      <c r="AQ33" s="2">
        <v>43195</v>
      </c>
      <c r="AR33" s="3">
        <v>0.50624999999999998</v>
      </c>
      <c r="AS33" s="1">
        <v>75</v>
      </c>
      <c r="AT33" s="1" t="s">
        <v>78</v>
      </c>
      <c r="AU33" s="18" t="s">
        <v>191</v>
      </c>
      <c r="AV33" s="1">
        <v>36.019443000000003</v>
      </c>
      <c r="AW33" s="1">
        <v>78.716990999999993</v>
      </c>
    </row>
    <row r="34" spans="1:49" ht="14.1" customHeight="1" x14ac:dyDescent="0.2">
      <c r="A34" s="20" t="s">
        <v>77</v>
      </c>
      <c r="B34" s="20">
        <v>1466414.9252194699</v>
      </c>
      <c r="C34" s="20">
        <v>-334215.53306021</v>
      </c>
      <c r="D34" s="20" t="s">
        <v>63</v>
      </c>
      <c r="E34" s="20">
        <v>2431945.9785411698</v>
      </c>
      <c r="F34" s="20" t="s">
        <v>51</v>
      </c>
      <c r="G34" s="20" t="s">
        <v>52</v>
      </c>
      <c r="H34" s="20" t="s">
        <v>53</v>
      </c>
      <c r="I34" s="20" t="s">
        <v>54</v>
      </c>
      <c r="J34" s="20">
        <v>9.73</v>
      </c>
      <c r="K34" s="20">
        <v>34.1</v>
      </c>
      <c r="L34" s="20" t="s">
        <v>55</v>
      </c>
      <c r="M34" s="21">
        <v>43194</v>
      </c>
      <c r="N34" s="22">
        <v>0.48402777777777778</v>
      </c>
      <c r="O34" s="23">
        <v>0.49840277777777775</v>
      </c>
      <c r="P34" s="21">
        <v>43195</v>
      </c>
      <c r="Q34" s="20">
        <v>50</v>
      </c>
      <c r="R34" s="20" t="s">
        <v>56</v>
      </c>
      <c r="S34" s="20" t="s">
        <v>54</v>
      </c>
      <c r="T34" s="20" t="s">
        <v>54</v>
      </c>
      <c r="U34" s="20" t="s">
        <v>54</v>
      </c>
      <c r="V34" s="20" t="s">
        <v>54</v>
      </c>
      <c r="W34" s="20" t="s">
        <v>54</v>
      </c>
      <c r="X34" s="20" t="s">
        <v>54</v>
      </c>
      <c r="Y34" s="20" t="s">
        <v>54</v>
      </c>
      <c r="Z34" s="20" t="s">
        <v>54</v>
      </c>
      <c r="AA34" s="20" t="s">
        <v>54</v>
      </c>
      <c r="AB34" s="20" t="s">
        <v>54</v>
      </c>
      <c r="AC34" s="20" t="s">
        <v>54</v>
      </c>
      <c r="AD34" s="20" t="s">
        <v>54</v>
      </c>
      <c r="AE34" s="20" t="s">
        <v>54</v>
      </c>
      <c r="AF34" s="20" t="s">
        <v>54</v>
      </c>
      <c r="AG34" s="20" t="s">
        <v>54</v>
      </c>
      <c r="AH34" s="20" t="s">
        <v>54</v>
      </c>
      <c r="AI34" s="20" t="s">
        <v>54</v>
      </c>
      <c r="AJ34" s="20" t="s">
        <v>54</v>
      </c>
      <c r="AK34" s="20" t="s">
        <v>54</v>
      </c>
      <c r="AL34" s="20" t="s">
        <v>54</v>
      </c>
      <c r="AM34" s="20" t="s">
        <v>54</v>
      </c>
      <c r="AN34" s="20" t="s">
        <v>54</v>
      </c>
      <c r="AO34" s="20" t="s">
        <v>54</v>
      </c>
      <c r="AP34" s="20" t="s">
        <v>54</v>
      </c>
      <c r="AQ34" s="21">
        <v>43195</v>
      </c>
      <c r="AR34" s="22">
        <v>0.50624999999999998</v>
      </c>
      <c r="AS34" s="20">
        <v>75</v>
      </c>
      <c r="AT34" s="20" t="s">
        <v>78</v>
      </c>
      <c r="AU34" s="20"/>
      <c r="AV34" s="20">
        <v>36.019443000000003</v>
      </c>
      <c r="AW34" s="20">
        <v>78.716990999999993</v>
      </c>
    </row>
    <row r="35" spans="1:49" s="1" customFormat="1" ht="14.1" customHeight="1" x14ac:dyDescent="0.2">
      <c r="A35" s="1" t="s">
        <v>79</v>
      </c>
      <c r="B35" s="1">
        <v>1474509.59706117</v>
      </c>
      <c r="C35" s="1">
        <v>-339143.283510532</v>
      </c>
      <c r="D35" s="1" t="s">
        <v>59</v>
      </c>
      <c r="E35" s="1">
        <v>1714544.6322379201</v>
      </c>
      <c r="F35" s="1" t="s">
        <v>51</v>
      </c>
      <c r="G35" s="1" t="s">
        <v>52</v>
      </c>
      <c r="H35" s="1" t="s">
        <v>53</v>
      </c>
      <c r="I35" s="1" t="s">
        <v>54</v>
      </c>
      <c r="J35" s="1">
        <v>6.86</v>
      </c>
      <c r="K35" s="1">
        <v>68.05</v>
      </c>
      <c r="L35" s="1" t="s">
        <v>55</v>
      </c>
      <c r="M35" s="2">
        <v>43194</v>
      </c>
      <c r="N35" s="3">
        <v>0.54166666666666663</v>
      </c>
      <c r="O35" s="3">
        <v>0.55127314814814821</v>
      </c>
      <c r="P35" s="2">
        <v>43195</v>
      </c>
      <c r="Q35" s="1">
        <v>45</v>
      </c>
      <c r="R35" s="1" t="s">
        <v>56</v>
      </c>
      <c r="S35" s="1" t="s">
        <v>54</v>
      </c>
      <c r="T35" s="1" t="s">
        <v>54</v>
      </c>
      <c r="U35" s="1" t="s">
        <v>54</v>
      </c>
      <c r="V35" s="1" t="s">
        <v>54</v>
      </c>
      <c r="W35" s="1" t="s">
        <v>54</v>
      </c>
      <c r="X35" s="1" t="s">
        <v>54</v>
      </c>
      <c r="Y35" s="1" t="s">
        <v>54</v>
      </c>
      <c r="Z35" s="1" t="s">
        <v>54</v>
      </c>
      <c r="AA35" s="1" t="s">
        <v>54</v>
      </c>
      <c r="AB35" s="1" t="s">
        <v>54</v>
      </c>
      <c r="AC35" s="1" t="s">
        <v>54</v>
      </c>
      <c r="AD35" s="1" t="s">
        <v>54</v>
      </c>
      <c r="AE35" s="1" t="s">
        <v>54</v>
      </c>
      <c r="AF35" s="1" t="s">
        <v>54</v>
      </c>
      <c r="AG35" s="1" t="s">
        <v>54</v>
      </c>
      <c r="AH35" s="1" t="s">
        <v>54</v>
      </c>
      <c r="AI35" s="1" t="s">
        <v>54</v>
      </c>
      <c r="AJ35" s="1" t="s">
        <v>54</v>
      </c>
      <c r="AK35" s="1" t="s">
        <v>54</v>
      </c>
      <c r="AL35" s="1" t="s">
        <v>54</v>
      </c>
      <c r="AM35" s="1" t="s">
        <v>54</v>
      </c>
      <c r="AN35" s="1" t="s">
        <v>54</v>
      </c>
      <c r="AO35" s="1" t="s">
        <v>54</v>
      </c>
      <c r="AP35" s="1" t="s">
        <v>54</v>
      </c>
      <c r="AQ35" s="2">
        <v>43195</v>
      </c>
      <c r="AR35" s="3">
        <v>0.55069444444444449</v>
      </c>
      <c r="AS35" s="1">
        <v>0</v>
      </c>
      <c r="AT35" s="1" t="s">
        <v>54</v>
      </c>
      <c r="AU35" s="1" t="s">
        <v>54</v>
      </c>
      <c r="AV35" s="1">
        <v>35.965547000000001</v>
      </c>
      <c r="AW35" s="1">
        <v>78.633861999999993</v>
      </c>
    </row>
    <row r="36" spans="1:49" ht="14.1" customHeight="1" x14ac:dyDescent="0.2">
      <c r="A36" s="20" t="s">
        <v>79</v>
      </c>
      <c r="B36" s="20">
        <v>1474509.59706117</v>
      </c>
      <c r="C36" s="20">
        <v>-339143.283510532</v>
      </c>
      <c r="D36" s="20" t="s">
        <v>59</v>
      </c>
      <c r="E36" s="20">
        <v>1714544.6322379201</v>
      </c>
      <c r="F36" s="20" t="s">
        <v>51</v>
      </c>
      <c r="G36" s="20" t="s">
        <v>52</v>
      </c>
      <c r="H36" s="20" t="s">
        <v>53</v>
      </c>
      <c r="I36" s="20" t="s">
        <v>54</v>
      </c>
      <c r="J36" s="20">
        <v>6.86</v>
      </c>
      <c r="K36" s="20">
        <v>68.05</v>
      </c>
      <c r="L36" s="20" t="s">
        <v>55</v>
      </c>
      <c r="M36" s="21">
        <v>43194</v>
      </c>
      <c r="N36" s="22">
        <v>0.54166666666666663</v>
      </c>
      <c r="O36" s="22">
        <v>0.55127314814814821</v>
      </c>
      <c r="P36" s="21">
        <v>43195</v>
      </c>
      <c r="Q36" s="20">
        <v>45</v>
      </c>
      <c r="R36" s="20" t="s">
        <v>56</v>
      </c>
      <c r="S36" s="20" t="s">
        <v>54</v>
      </c>
      <c r="T36" s="20" t="s">
        <v>54</v>
      </c>
      <c r="U36" s="20" t="s">
        <v>54</v>
      </c>
      <c r="V36" s="20" t="s">
        <v>54</v>
      </c>
      <c r="W36" s="20" t="s">
        <v>54</v>
      </c>
      <c r="X36" s="20" t="s">
        <v>54</v>
      </c>
      <c r="Y36" s="20" t="s">
        <v>54</v>
      </c>
      <c r="Z36" s="20" t="s">
        <v>54</v>
      </c>
      <c r="AA36" s="20" t="s">
        <v>54</v>
      </c>
      <c r="AB36" s="20" t="s">
        <v>54</v>
      </c>
      <c r="AC36" s="20" t="s">
        <v>54</v>
      </c>
      <c r="AD36" s="20" t="s">
        <v>54</v>
      </c>
      <c r="AE36" s="20" t="s">
        <v>54</v>
      </c>
      <c r="AF36" s="20" t="s">
        <v>54</v>
      </c>
      <c r="AG36" s="20" t="s">
        <v>54</v>
      </c>
      <c r="AH36" s="20" t="s">
        <v>54</v>
      </c>
      <c r="AI36" s="20" t="s">
        <v>54</v>
      </c>
      <c r="AJ36" s="20" t="s">
        <v>54</v>
      </c>
      <c r="AK36" s="20" t="s">
        <v>54</v>
      </c>
      <c r="AL36" s="20" t="s">
        <v>54</v>
      </c>
      <c r="AM36" s="20" t="s">
        <v>54</v>
      </c>
      <c r="AN36" s="20" t="s">
        <v>54</v>
      </c>
      <c r="AO36" s="20" t="s">
        <v>54</v>
      </c>
      <c r="AP36" s="20" t="s">
        <v>54</v>
      </c>
      <c r="AQ36" s="21">
        <v>43195</v>
      </c>
      <c r="AR36" s="22">
        <v>0.55069444444444449</v>
      </c>
      <c r="AS36" s="20">
        <v>0</v>
      </c>
      <c r="AT36" s="20" t="s">
        <v>54</v>
      </c>
      <c r="AU36" s="20" t="s">
        <v>54</v>
      </c>
      <c r="AV36" s="20">
        <v>35.965547000000001</v>
      </c>
      <c r="AW36" s="20">
        <v>78.633861999999993</v>
      </c>
    </row>
    <row r="37" spans="1:49" ht="14.1" customHeight="1" x14ac:dyDescent="0.2">
      <c r="A37" s="1" t="s">
        <v>80</v>
      </c>
      <c r="B37" s="1">
        <v>1472663.7434799201</v>
      </c>
      <c r="C37" s="1">
        <v>-334935.09844277601</v>
      </c>
      <c r="D37" s="1" t="s">
        <v>50</v>
      </c>
      <c r="E37" s="1">
        <v>1539862.4160863401</v>
      </c>
      <c r="F37" s="1" t="s">
        <v>51</v>
      </c>
      <c r="G37" s="1" t="s">
        <v>52</v>
      </c>
      <c r="H37" s="1" t="s">
        <v>53</v>
      </c>
      <c r="I37" s="1" t="s">
        <v>54</v>
      </c>
      <c r="J37" s="1">
        <v>6.16</v>
      </c>
      <c r="K37" s="1">
        <v>74.88</v>
      </c>
      <c r="L37" s="1" t="s">
        <v>55</v>
      </c>
      <c r="M37" s="2">
        <v>43194</v>
      </c>
      <c r="N37" s="3">
        <v>0.53263888888888888</v>
      </c>
      <c r="O37" s="3">
        <v>0.54096064814814815</v>
      </c>
      <c r="P37" s="2">
        <v>43195</v>
      </c>
      <c r="Q37" s="1">
        <v>45</v>
      </c>
      <c r="R37" s="1" t="s">
        <v>56</v>
      </c>
      <c r="S37" s="1" t="s">
        <v>54</v>
      </c>
      <c r="T37" s="1" t="s">
        <v>54</v>
      </c>
      <c r="U37" s="1" t="s">
        <v>54</v>
      </c>
      <c r="V37" s="1" t="s">
        <v>54</v>
      </c>
      <c r="W37" s="1" t="s">
        <v>54</v>
      </c>
      <c r="X37" s="1" t="s">
        <v>54</v>
      </c>
      <c r="Y37" s="1" t="s">
        <v>54</v>
      </c>
      <c r="Z37" s="1" t="s">
        <v>54</v>
      </c>
      <c r="AA37" s="1" t="s">
        <v>54</v>
      </c>
      <c r="AB37" s="1" t="s">
        <v>54</v>
      </c>
      <c r="AC37" s="1" t="s">
        <v>54</v>
      </c>
      <c r="AD37" s="1" t="s">
        <v>54</v>
      </c>
      <c r="AE37" s="1" t="s">
        <v>54</v>
      </c>
      <c r="AF37" s="1" t="s">
        <v>54</v>
      </c>
      <c r="AG37" s="1" t="s">
        <v>54</v>
      </c>
      <c r="AH37" s="1" t="s">
        <v>54</v>
      </c>
      <c r="AI37" s="1" t="s">
        <v>54</v>
      </c>
      <c r="AJ37" s="1" t="s">
        <v>54</v>
      </c>
      <c r="AK37" s="1" t="s">
        <v>54</v>
      </c>
      <c r="AL37" s="1" t="s">
        <v>54</v>
      </c>
      <c r="AM37" s="1" t="s">
        <v>54</v>
      </c>
      <c r="AN37" s="1" t="s">
        <v>54</v>
      </c>
      <c r="AO37" s="1" t="s">
        <v>54</v>
      </c>
      <c r="AP37" s="1" t="s">
        <v>54</v>
      </c>
      <c r="AQ37" s="2">
        <v>43195</v>
      </c>
      <c r="AR37" s="3">
        <v>0.54097222222222219</v>
      </c>
      <c r="AS37" s="1">
        <v>3</v>
      </c>
      <c r="AT37" s="1" t="s">
        <v>54</v>
      </c>
      <c r="AU37" s="1" t="s">
        <v>54</v>
      </c>
      <c r="AV37" s="1">
        <v>36.003619999999998</v>
      </c>
      <c r="AW37" s="1">
        <v>78.646276</v>
      </c>
    </row>
    <row r="38" spans="1:49" ht="14.1" customHeight="1" x14ac:dyDescent="0.2">
      <c r="A38" s="20" t="s">
        <v>80</v>
      </c>
      <c r="B38" s="20">
        <v>1472663.7434799201</v>
      </c>
      <c r="C38" s="20">
        <v>-334935.09844277601</v>
      </c>
      <c r="D38" s="20" t="s">
        <v>50</v>
      </c>
      <c r="E38" s="20">
        <v>1539862.4160863401</v>
      </c>
      <c r="F38" s="20" t="s">
        <v>51</v>
      </c>
      <c r="G38" s="20" t="s">
        <v>52</v>
      </c>
      <c r="H38" s="20" t="s">
        <v>53</v>
      </c>
      <c r="I38" s="20" t="s">
        <v>54</v>
      </c>
      <c r="J38" s="20">
        <v>6.16</v>
      </c>
      <c r="K38" s="20">
        <v>74.88</v>
      </c>
      <c r="L38" s="20" t="s">
        <v>55</v>
      </c>
      <c r="M38" s="21">
        <v>43194</v>
      </c>
      <c r="N38" s="22">
        <v>0.53263888888888888</v>
      </c>
      <c r="O38" s="22">
        <v>0.54096064814814815</v>
      </c>
      <c r="P38" s="21">
        <v>43195</v>
      </c>
      <c r="Q38" s="20">
        <v>45</v>
      </c>
      <c r="R38" s="20" t="s">
        <v>56</v>
      </c>
      <c r="S38" s="20" t="s">
        <v>54</v>
      </c>
      <c r="T38" s="20" t="s">
        <v>54</v>
      </c>
      <c r="U38" s="20" t="s">
        <v>54</v>
      </c>
      <c r="V38" s="20" t="s">
        <v>54</v>
      </c>
      <c r="W38" s="20" t="s">
        <v>54</v>
      </c>
      <c r="X38" s="20" t="s">
        <v>54</v>
      </c>
      <c r="Y38" s="20" t="s">
        <v>54</v>
      </c>
      <c r="Z38" s="20" t="s">
        <v>54</v>
      </c>
      <c r="AA38" s="20" t="s">
        <v>54</v>
      </c>
      <c r="AB38" s="20" t="s">
        <v>54</v>
      </c>
      <c r="AC38" s="20" t="s">
        <v>54</v>
      </c>
      <c r="AD38" s="20" t="s">
        <v>54</v>
      </c>
      <c r="AE38" s="20" t="s">
        <v>54</v>
      </c>
      <c r="AF38" s="20" t="s">
        <v>54</v>
      </c>
      <c r="AG38" s="20" t="s">
        <v>54</v>
      </c>
      <c r="AH38" s="20" t="s">
        <v>54</v>
      </c>
      <c r="AI38" s="20" t="s">
        <v>54</v>
      </c>
      <c r="AJ38" s="20" t="s">
        <v>54</v>
      </c>
      <c r="AK38" s="20" t="s">
        <v>54</v>
      </c>
      <c r="AL38" s="20" t="s">
        <v>54</v>
      </c>
      <c r="AM38" s="20" t="s">
        <v>54</v>
      </c>
      <c r="AN38" s="20" t="s">
        <v>54</v>
      </c>
      <c r="AO38" s="20" t="s">
        <v>54</v>
      </c>
      <c r="AP38" s="20" t="s">
        <v>54</v>
      </c>
      <c r="AQ38" s="21">
        <v>43195</v>
      </c>
      <c r="AR38" s="22">
        <v>0.54097222222222219</v>
      </c>
      <c r="AS38" s="20">
        <v>3</v>
      </c>
      <c r="AT38" s="20" t="s">
        <v>54</v>
      </c>
      <c r="AU38" s="20" t="s">
        <v>54</v>
      </c>
      <c r="AV38" s="20">
        <v>36.003619999999998</v>
      </c>
      <c r="AW38" s="20">
        <v>78.646276</v>
      </c>
    </row>
    <row r="39" spans="1:49" ht="14.1" customHeight="1" x14ac:dyDescent="0.2">
      <c r="A39" s="1" t="s">
        <v>81</v>
      </c>
      <c r="B39" s="1">
        <v>1465540.00673415</v>
      </c>
      <c r="C39" s="1">
        <v>-329572.61813189602</v>
      </c>
      <c r="D39" s="1" t="s">
        <v>82</v>
      </c>
      <c r="E39" s="1">
        <v>2375053.6585566499</v>
      </c>
      <c r="F39" s="1" t="s">
        <v>51</v>
      </c>
      <c r="G39" s="1" t="s">
        <v>52</v>
      </c>
      <c r="H39" s="1" t="s">
        <v>53</v>
      </c>
      <c r="I39" s="1" t="s">
        <v>54</v>
      </c>
      <c r="J39" s="1">
        <v>9.5</v>
      </c>
      <c r="K39" s="1">
        <v>47.15</v>
      </c>
      <c r="L39" s="1" t="s">
        <v>55</v>
      </c>
      <c r="M39" s="2">
        <v>43194</v>
      </c>
      <c r="N39" s="3">
        <v>0.46666666666666662</v>
      </c>
      <c r="O39" s="4">
        <v>0.47516203703703702</v>
      </c>
      <c r="P39" s="2">
        <v>43195</v>
      </c>
      <c r="Q39" s="1">
        <v>45</v>
      </c>
      <c r="R39" s="1" t="s">
        <v>56</v>
      </c>
      <c r="S39" s="1">
        <v>1.7</v>
      </c>
      <c r="T39" s="1">
        <v>0.1</v>
      </c>
      <c r="U39" s="1">
        <v>16.149999999999999</v>
      </c>
      <c r="V39" s="1">
        <v>97.3</v>
      </c>
      <c r="W39" s="1">
        <v>9.6</v>
      </c>
      <c r="X39" s="1">
        <v>0.14000000000000001</v>
      </c>
      <c r="Y39" s="1">
        <v>7.97</v>
      </c>
      <c r="Z39" s="1" t="s">
        <v>54</v>
      </c>
      <c r="AA39" s="1">
        <v>19</v>
      </c>
      <c r="AB39" s="1">
        <v>5.4</v>
      </c>
      <c r="AC39" s="1" t="s">
        <v>54</v>
      </c>
      <c r="AD39" s="1" t="s">
        <v>54</v>
      </c>
      <c r="AE39" s="1" t="s">
        <v>54</v>
      </c>
      <c r="AF39" s="1" t="s">
        <v>54</v>
      </c>
      <c r="AG39" s="1" t="s">
        <v>54</v>
      </c>
      <c r="AH39" s="1" t="s">
        <v>54</v>
      </c>
      <c r="AI39" s="1" t="s">
        <v>54</v>
      </c>
      <c r="AJ39" s="1" t="s">
        <v>54</v>
      </c>
      <c r="AK39" s="1" t="s">
        <v>54</v>
      </c>
      <c r="AL39" s="1" t="s">
        <v>54</v>
      </c>
      <c r="AM39" s="1" t="s">
        <v>83</v>
      </c>
      <c r="AN39" s="1">
        <v>115</v>
      </c>
      <c r="AO39" s="1">
        <v>25</v>
      </c>
      <c r="AP39" s="1" t="s">
        <v>54</v>
      </c>
      <c r="AQ39" s="2">
        <v>43195</v>
      </c>
      <c r="AR39" s="3">
        <v>0.47500000000000003</v>
      </c>
      <c r="AS39" s="1">
        <v>0</v>
      </c>
      <c r="AT39" s="1" t="s">
        <v>54</v>
      </c>
      <c r="AU39" s="1" t="s">
        <v>54</v>
      </c>
      <c r="AV39" s="1">
        <v>36.059508000000001</v>
      </c>
      <c r="AW39" s="1">
        <v>78.717217000000005</v>
      </c>
    </row>
    <row r="40" spans="1:49" ht="14.1" customHeight="1" x14ac:dyDescent="0.2">
      <c r="A40" s="20" t="s">
        <v>81</v>
      </c>
      <c r="B40" s="20">
        <v>1465540.00673415</v>
      </c>
      <c r="C40" s="20">
        <v>-329572.61813189602</v>
      </c>
      <c r="D40" s="20" t="s">
        <v>82</v>
      </c>
      <c r="E40" s="20">
        <v>2375053.6585566499</v>
      </c>
      <c r="F40" s="20" t="s">
        <v>51</v>
      </c>
      <c r="G40" s="20" t="s">
        <v>52</v>
      </c>
      <c r="H40" s="20" t="s">
        <v>53</v>
      </c>
      <c r="I40" s="20" t="s">
        <v>54</v>
      </c>
      <c r="J40" s="20">
        <v>9.5</v>
      </c>
      <c r="K40" s="20">
        <v>47.15</v>
      </c>
      <c r="L40" s="20" t="s">
        <v>55</v>
      </c>
      <c r="M40" s="21">
        <v>43194</v>
      </c>
      <c r="N40" s="22">
        <v>0.46666666666666662</v>
      </c>
      <c r="O40" s="23">
        <v>0.47516203703703702</v>
      </c>
      <c r="P40" s="21">
        <v>43195</v>
      </c>
      <c r="Q40" s="20">
        <v>45</v>
      </c>
      <c r="R40" s="20" t="s">
        <v>56</v>
      </c>
      <c r="S40" s="20">
        <v>1.7</v>
      </c>
      <c r="T40" s="20">
        <v>0.1</v>
      </c>
      <c r="U40" s="20">
        <v>16.149999999999999</v>
      </c>
      <c r="V40" s="20">
        <v>97.3</v>
      </c>
      <c r="W40" s="20">
        <v>9.6</v>
      </c>
      <c r="X40" s="20">
        <v>0.14000000000000001</v>
      </c>
      <c r="Y40" s="20">
        <v>7.97</v>
      </c>
      <c r="Z40" s="20" t="s">
        <v>54</v>
      </c>
      <c r="AA40" s="20">
        <v>19</v>
      </c>
      <c r="AB40" s="20">
        <v>5.4</v>
      </c>
      <c r="AC40" s="20" t="s">
        <v>54</v>
      </c>
      <c r="AD40" s="20" t="s">
        <v>54</v>
      </c>
      <c r="AE40" s="20" t="s">
        <v>54</v>
      </c>
      <c r="AF40" s="20" t="s">
        <v>54</v>
      </c>
      <c r="AG40" s="20" t="s">
        <v>54</v>
      </c>
      <c r="AH40" s="20" t="s">
        <v>54</v>
      </c>
      <c r="AI40" s="20" t="s">
        <v>54</v>
      </c>
      <c r="AJ40" s="20" t="s">
        <v>54</v>
      </c>
      <c r="AK40" s="20" t="s">
        <v>54</v>
      </c>
      <c r="AL40" s="20" t="s">
        <v>54</v>
      </c>
      <c r="AM40" s="20" t="s">
        <v>83</v>
      </c>
      <c r="AN40" s="20">
        <v>115</v>
      </c>
      <c r="AO40" s="20">
        <v>25</v>
      </c>
      <c r="AP40" s="20" t="s">
        <v>54</v>
      </c>
      <c r="AQ40" s="21">
        <v>43195</v>
      </c>
      <c r="AR40" s="22">
        <v>0.47500000000000003</v>
      </c>
      <c r="AS40" s="20">
        <v>0</v>
      </c>
      <c r="AT40" s="20" t="s">
        <v>54</v>
      </c>
      <c r="AU40" s="20" t="s">
        <v>54</v>
      </c>
      <c r="AV40" s="20">
        <v>36.059508000000001</v>
      </c>
      <c r="AW40" s="20">
        <v>78.717217000000005</v>
      </c>
    </row>
    <row r="41" spans="1:49" ht="14.1" customHeight="1" x14ac:dyDescent="0.2">
      <c r="A41" s="1" t="s">
        <v>84</v>
      </c>
      <c r="B41" s="1">
        <v>1466533.7735737001</v>
      </c>
      <c r="C41" s="1">
        <v>-333774.20314539899</v>
      </c>
      <c r="D41" s="1" t="s">
        <v>82</v>
      </c>
      <c r="E41" s="1">
        <v>2375053.6585566499</v>
      </c>
      <c r="F41" s="1" t="s">
        <v>51</v>
      </c>
      <c r="G41" s="1" t="s">
        <v>52</v>
      </c>
      <c r="H41" s="1" t="s">
        <v>53</v>
      </c>
      <c r="I41" s="1" t="s">
        <v>54</v>
      </c>
      <c r="J41" s="1">
        <v>9.5</v>
      </c>
      <c r="K41" s="1">
        <v>47.15</v>
      </c>
      <c r="L41" s="1" t="s">
        <v>55</v>
      </c>
      <c r="M41" s="2">
        <v>43194</v>
      </c>
      <c r="N41" s="3">
        <v>0.4777777777777778</v>
      </c>
      <c r="O41" s="4">
        <v>0.48888888888888887</v>
      </c>
      <c r="P41" s="2">
        <v>43195</v>
      </c>
      <c r="Q41" s="1">
        <v>50</v>
      </c>
      <c r="R41" s="1" t="s">
        <v>56</v>
      </c>
      <c r="S41" s="1">
        <v>4.5</v>
      </c>
      <c r="T41" s="1">
        <v>0.1</v>
      </c>
      <c r="U41" s="1">
        <v>14.56</v>
      </c>
      <c r="V41" s="1">
        <v>94.6</v>
      </c>
      <c r="W41" s="1">
        <v>9.6199999999999992</v>
      </c>
      <c r="X41" s="1">
        <v>0.14399999999999999</v>
      </c>
      <c r="Y41" s="1">
        <v>8</v>
      </c>
      <c r="Z41" s="1" t="s">
        <v>54</v>
      </c>
      <c r="AA41" s="18">
        <v>10.5</v>
      </c>
      <c r="AB41" s="1">
        <v>7.3</v>
      </c>
      <c r="AC41" s="1" t="s">
        <v>54</v>
      </c>
      <c r="AD41" s="1" t="s">
        <v>54</v>
      </c>
      <c r="AE41" s="1" t="s">
        <v>54</v>
      </c>
      <c r="AF41" s="1" t="s">
        <v>54</v>
      </c>
      <c r="AG41" s="1" t="s">
        <v>54</v>
      </c>
      <c r="AH41" s="1" t="s">
        <v>54</v>
      </c>
      <c r="AI41" s="1" t="s">
        <v>54</v>
      </c>
      <c r="AJ41" s="1" t="s">
        <v>54</v>
      </c>
      <c r="AK41" s="1" t="s">
        <v>54</v>
      </c>
      <c r="AL41" s="1" t="s">
        <v>54</v>
      </c>
      <c r="AM41" s="1" t="s">
        <v>85</v>
      </c>
      <c r="AN41" s="1">
        <v>115</v>
      </c>
      <c r="AO41" s="1">
        <v>25</v>
      </c>
      <c r="AP41" s="1" t="s">
        <v>54</v>
      </c>
      <c r="AQ41" s="2">
        <v>43195</v>
      </c>
      <c r="AR41" s="3">
        <v>0.48888888888888887</v>
      </c>
      <c r="AS41" s="1">
        <v>1</v>
      </c>
      <c r="AT41" s="1" t="s">
        <v>54</v>
      </c>
      <c r="AU41" s="1" t="s">
        <v>54</v>
      </c>
      <c r="AV41" s="1">
        <v>36.022666999999998</v>
      </c>
      <c r="AW41" s="1">
        <v>78.714630999999997</v>
      </c>
    </row>
    <row r="42" spans="1:49" ht="14.1" customHeight="1" x14ac:dyDescent="0.2">
      <c r="A42" s="20" t="s">
        <v>84</v>
      </c>
      <c r="B42" s="20">
        <v>1466533.7735737001</v>
      </c>
      <c r="C42" s="20">
        <v>-333774.20314539899</v>
      </c>
      <c r="D42" s="20" t="s">
        <v>82</v>
      </c>
      <c r="E42" s="20">
        <v>2375053.6585566499</v>
      </c>
      <c r="F42" s="20" t="s">
        <v>51</v>
      </c>
      <c r="G42" s="20" t="s">
        <v>52</v>
      </c>
      <c r="H42" s="20" t="s">
        <v>53</v>
      </c>
      <c r="I42" s="20" t="s">
        <v>54</v>
      </c>
      <c r="J42" s="20">
        <v>9.5</v>
      </c>
      <c r="K42" s="20">
        <v>47.15</v>
      </c>
      <c r="L42" s="20" t="s">
        <v>55</v>
      </c>
      <c r="M42" s="21">
        <v>43194</v>
      </c>
      <c r="N42" s="22">
        <v>0.4777777777777778</v>
      </c>
      <c r="O42" s="23">
        <v>0.48888888888888887</v>
      </c>
      <c r="P42" s="21">
        <v>43195</v>
      </c>
      <c r="Q42" s="20">
        <v>50</v>
      </c>
      <c r="R42" s="20" t="s">
        <v>56</v>
      </c>
      <c r="S42" s="20">
        <v>4.5</v>
      </c>
      <c r="T42" s="20">
        <v>0.1</v>
      </c>
      <c r="U42" s="20">
        <v>14.56</v>
      </c>
      <c r="V42" s="20">
        <v>94.6</v>
      </c>
      <c r="W42" s="20">
        <v>9.6199999999999992</v>
      </c>
      <c r="X42" s="20">
        <v>0.14399999999999999</v>
      </c>
      <c r="Y42" s="20">
        <v>8</v>
      </c>
      <c r="Z42" s="20" t="s">
        <v>54</v>
      </c>
      <c r="AA42" s="20">
        <v>70.5</v>
      </c>
      <c r="AB42" s="20">
        <v>7.3</v>
      </c>
      <c r="AC42" s="20" t="s">
        <v>54</v>
      </c>
      <c r="AD42" s="20" t="s">
        <v>54</v>
      </c>
      <c r="AE42" s="20" t="s">
        <v>54</v>
      </c>
      <c r="AF42" s="20" t="s">
        <v>54</v>
      </c>
      <c r="AG42" s="20" t="s">
        <v>54</v>
      </c>
      <c r="AH42" s="20" t="s">
        <v>54</v>
      </c>
      <c r="AI42" s="20" t="s">
        <v>54</v>
      </c>
      <c r="AJ42" s="20" t="s">
        <v>54</v>
      </c>
      <c r="AK42" s="20" t="s">
        <v>54</v>
      </c>
      <c r="AL42" s="20" t="s">
        <v>54</v>
      </c>
      <c r="AM42" s="20" t="s">
        <v>85</v>
      </c>
      <c r="AN42" s="20">
        <v>115</v>
      </c>
      <c r="AO42" s="20">
        <v>25</v>
      </c>
      <c r="AP42" s="20" t="s">
        <v>54</v>
      </c>
      <c r="AQ42" s="21">
        <v>43195</v>
      </c>
      <c r="AR42" s="22">
        <v>0.48888888888888887</v>
      </c>
      <c r="AS42" s="20">
        <v>1</v>
      </c>
      <c r="AT42" s="20" t="s">
        <v>54</v>
      </c>
      <c r="AU42" s="20" t="s">
        <v>54</v>
      </c>
      <c r="AV42" s="20">
        <v>36.022666999999998</v>
      </c>
      <c r="AW42" s="20">
        <v>78.714630999999997</v>
      </c>
    </row>
    <row r="43" spans="1:49" ht="14.1" customHeight="1" x14ac:dyDescent="0.2">
      <c r="A43" s="1" t="s">
        <v>86</v>
      </c>
      <c r="B43" s="1">
        <v>1478377.06828636</v>
      </c>
      <c r="C43" s="1">
        <v>-339448.92602312402</v>
      </c>
      <c r="D43" s="1" t="s">
        <v>59</v>
      </c>
      <c r="E43" s="1">
        <v>1714544.6322379201</v>
      </c>
      <c r="F43" s="1" t="s">
        <v>51</v>
      </c>
      <c r="G43" s="1" t="s">
        <v>52</v>
      </c>
      <c r="H43" s="1" t="s">
        <v>53</v>
      </c>
      <c r="I43" s="1" t="s">
        <v>54</v>
      </c>
      <c r="J43" s="1">
        <v>6.86</v>
      </c>
      <c r="K43" s="1">
        <v>68.05</v>
      </c>
      <c r="L43" s="1" t="s">
        <v>55</v>
      </c>
      <c r="M43" s="2">
        <v>43194</v>
      </c>
      <c r="N43" s="3">
        <v>0.56944444444444442</v>
      </c>
      <c r="O43" s="3">
        <v>0.57550925925925933</v>
      </c>
      <c r="P43" s="2">
        <v>43195</v>
      </c>
      <c r="Q43" s="1">
        <v>45</v>
      </c>
      <c r="R43" s="1" t="s">
        <v>56</v>
      </c>
      <c r="S43" s="1"/>
      <c r="T43" s="1"/>
      <c r="U43" s="1"/>
      <c r="V43" s="1"/>
      <c r="W43" s="1"/>
      <c r="X43" s="1"/>
      <c r="Y43" s="1"/>
      <c r="Z43" s="1" t="s">
        <v>54</v>
      </c>
      <c r="AA43" s="1" t="s">
        <v>54</v>
      </c>
      <c r="AB43" s="1" t="s">
        <v>54</v>
      </c>
      <c r="AC43" s="1" t="s">
        <v>54</v>
      </c>
      <c r="AD43" s="1" t="s">
        <v>54</v>
      </c>
      <c r="AE43" s="1" t="s">
        <v>54</v>
      </c>
      <c r="AF43" s="1" t="s">
        <v>54</v>
      </c>
      <c r="AG43" s="1" t="s">
        <v>54</v>
      </c>
      <c r="AH43" s="1" t="s">
        <v>54</v>
      </c>
      <c r="AI43" s="1" t="s">
        <v>54</v>
      </c>
      <c r="AJ43" s="1" t="s">
        <v>54</v>
      </c>
      <c r="AK43" s="1" t="s">
        <v>54</v>
      </c>
      <c r="AL43" s="1" t="s">
        <v>54</v>
      </c>
      <c r="AM43" s="1" t="s">
        <v>54</v>
      </c>
      <c r="AN43" s="1" t="s">
        <v>54</v>
      </c>
      <c r="AO43" s="1" t="s">
        <v>54</v>
      </c>
      <c r="AP43" s="1" t="s">
        <v>54</v>
      </c>
      <c r="AQ43" s="2">
        <v>43195</v>
      </c>
      <c r="AR43" s="3">
        <v>0.58333333333333337</v>
      </c>
      <c r="AS43" s="1">
        <v>0</v>
      </c>
      <c r="AT43" s="1" t="s">
        <v>54</v>
      </c>
      <c r="AU43" s="1" t="s">
        <v>54</v>
      </c>
      <c r="AV43" s="1">
        <v>35.956710000000001</v>
      </c>
      <c r="AW43" s="1">
        <v>78.590485999999999</v>
      </c>
    </row>
    <row r="44" spans="1:49" ht="14.1" customHeight="1" x14ac:dyDescent="0.2">
      <c r="A44" s="20" t="s">
        <v>86</v>
      </c>
      <c r="B44" s="20">
        <v>1478377.06828636</v>
      </c>
      <c r="C44" s="20">
        <v>-339448.92602312402</v>
      </c>
      <c r="D44" s="20" t="s">
        <v>59</v>
      </c>
      <c r="E44" s="20">
        <v>1714544.6322379201</v>
      </c>
      <c r="F44" s="20" t="s">
        <v>51</v>
      </c>
      <c r="G44" s="20" t="s">
        <v>52</v>
      </c>
      <c r="H44" s="20" t="s">
        <v>53</v>
      </c>
      <c r="I44" s="20" t="s">
        <v>54</v>
      </c>
      <c r="J44" s="20">
        <v>6.86</v>
      </c>
      <c r="K44" s="20">
        <v>68.05</v>
      </c>
      <c r="L44" s="20" t="s">
        <v>55</v>
      </c>
      <c r="M44" s="21">
        <v>43194</v>
      </c>
      <c r="N44" s="22">
        <v>0.56944444444444442</v>
      </c>
      <c r="O44" s="22">
        <v>0.57550925925925933</v>
      </c>
      <c r="P44" s="21">
        <v>43195</v>
      </c>
      <c r="Q44" s="20">
        <v>45</v>
      </c>
      <c r="R44" s="20" t="s">
        <v>56</v>
      </c>
      <c r="S44" s="20"/>
      <c r="T44" s="20"/>
      <c r="U44" s="20"/>
      <c r="V44" s="20"/>
      <c r="W44" s="20"/>
      <c r="X44" s="20"/>
      <c r="Y44" s="20"/>
      <c r="Z44" s="20" t="s">
        <v>54</v>
      </c>
      <c r="AA44" s="20" t="s">
        <v>54</v>
      </c>
      <c r="AB44" s="20" t="s">
        <v>54</v>
      </c>
      <c r="AC44" s="20" t="s">
        <v>54</v>
      </c>
      <c r="AD44" s="20" t="s">
        <v>54</v>
      </c>
      <c r="AE44" s="20" t="s">
        <v>54</v>
      </c>
      <c r="AF44" s="20" t="s">
        <v>54</v>
      </c>
      <c r="AG44" s="20" t="s">
        <v>54</v>
      </c>
      <c r="AH44" s="20" t="s">
        <v>54</v>
      </c>
      <c r="AI44" s="20" t="s">
        <v>54</v>
      </c>
      <c r="AJ44" s="20" t="s">
        <v>54</v>
      </c>
      <c r="AK44" s="20" t="s">
        <v>54</v>
      </c>
      <c r="AL44" s="20" t="s">
        <v>54</v>
      </c>
      <c r="AM44" s="20" t="s">
        <v>54</v>
      </c>
      <c r="AN44" s="20" t="s">
        <v>54</v>
      </c>
      <c r="AO44" s="20" t="s">
        <v>54</v>
      </c>
      <c r="AP44" s="20" t="s">
        <v>54</v>
      </c>
      <c r="AQ44" s="21">
        <v>43195</v>
      </c>
      <c r="AR44" s="22">
        <v>0.58333333333333337</v>
      </c>
      <c r="AS44" s="20">
        <v>0</v>
      </c>
      <c r="AT44" s="20" t="s">
        <v>54</v>
      </c>
      <c r="AU44" s="20" t="s">
        <v>54</v>
      </c>
      <c r="AV44" s="20">
        <v>35.956710000000001</v>
      </c>
      <c r="AW44" s="20">
        <v>78.590485999999999</v>
      </c>
    </row>
    <row r="45" spans="1:49" ht="14.1" customHeight="1" x14ac:dyDescent="0.2">
      <c r="A45" t="s">
        <v>87</v>
      </c>
      <c r="B45">
        <v>1471872.15090678</v>
      </c>
      <c r="C45">
        <v>-338986.10051671602</v>
      </c>
      <c r="D45" t="s">
        <v>50</v>
      </c>
      <c r="E45">
        <v>1539862.4160863401</v>
      </c>
      <c r="F45" t="s">
        <v>51</v>
      </c>
      <c r="G45" s="18" t="s">
        <v>197</v>
      </c>
      <c r="H45" s="18" t="s">
        <v>196</v>
      </c>
      <c r="I45" t="s">
        <v>54</v>
      </c>
      <c r="J45">
        <v>6.16</v>
      </c>
      <c r="K45">
        <v>74.88</v>
      </c>
      <c r="L45" t="s">
        <v>55</v>
      </c>
    </row>
    <row r="46" spans="1:49" ht="14.1" customHeight="1" x14ac:dyDescent="0.2">
      <c r="A46" s="20" t="s">
        <v>87</v>
      </c>
      <c r="B46" s="20">
        <v>1471872.15090678</v>
      </c>
      <c r="C46" s="20">
        <v>-338986.10051671602</v>
      </c>
      <c r="D46" s="20" t="s">
        <v>50</v>
      </c>
      <c r="E46" s="20">
        <v>1539862.4160863401</v>
      </c>
      <c r="F46" s="20" t="s">
        <v>51</v>
      </c>
      <c r="G46" s="20" t="s">
        <v>88</v>
      </c>
      <c r="H46" s="20" t="s">
        <v>70</v>
      </c>
      <c r="I46" s="20" t="s">
        <v>54</v>
      </c>
      <c r="J46" s="20">
        <v>6.16</v>
      </c>
      <c r="K46" s="20">
        <v>74.88</v>
      </c>
      <c r="L46" s="20" t="s">
        <v>55</v>
      </c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</row>
    <row r="47" spans="1:49" ht="14.1" customHeight="1" x14ac:dyDescent="0.2">
      <c r="A47" t="s">
        <v>89</v>
      </c>
      <c r="B47">
        <v>1466003.63560483</v>
      </c>
      <c r="C47">
        <v>-327517.832149936</v>
      </c>
      <c r="D47" t="s">
        <v>82</v>
      </c>
      <c r="E47">
        <v>2375053.6585566499</v>
      </c>
      <c r="F47" t="s">
        <v>51</v>
      </c>
      <c r="G47" s="18" t="s">
        <v>197</v>
      </c>
      <c r="H47" s="18" t="s">
        <v>196</v>
      </c>
      <c r="I47" t="s">
        <v>54</v>
      </c>
      <c r="J47">
        <v>9.5</v>
      </c>
      <c r="K47">
        <v>47.15</v>
      </c>
      <c r="L47" t="s">
        <v>55</v>
      </c>
    </row>
    <row r="48" spans="1:49" ht="14.1" customHeight="1" x14ac:dyDescent="0.2">
      <c r="A48" s="20" t="s">
        <v>89</v>
      </c>
      <c r="B48" s="20">
        <v>1466003.63560483</v>
      </c>
      <c r="C48" s="20">
        <v>-327517.832149936</v>
      </c>
      <c r="D48" s="20" t="s">
        <v>82</v>
      </c>
      <c r="E48" s="20">
        <v>2375053.6585566499</v>
      </c>
      <c r="F48" s="20" t="s">
        <v>51</v>
      </c>
      <c r="G48" s="20" t="s">
        <v>88</v>
      </c>
      <c r="H48" s="20" t="s">
        <v>70</v>
      </c>
      <c r="I48" s="20" t="s">
        <v>54</v>
      </c>
      <c r="J48" s="20">
        <v>9.5</v>
      </c>
      <c r="K48" s="20">
        <v>47.15</v>
      </c>
      <c r="L48" s="20" t="s">
        <v>55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</row>
    <row r="49" spans="1:49" ht="14.1" customHeight="1" x14ac:dyDescent="0.2">
      <c r="A49" t="s">
        <v>90</v>
      </c>
      <c r="B49">
        <v>1466635.3671118</v>
      </c>
      <c r="C49">
        <v>-336541.13084608997</v>
      </c>
      <c r="D49" t="s">
        <v>82</v>
      </c>
      <c r="E49">
        <v>2375053.6585566499</v>
      </c>
      <c r="F49" t="s">
        <v>51</v>
      </c>
      <c r="G49" s="18" t="s">
        <v>197</v>
      </c>
      <c r="H49" s="18" t="s">
        <v>196</v>
      </c>
      <c r="I49" t="s">
        <v>54</v>
      </c>
      <c r="J49">
        <v>9.5</v>
      </c>
      <c r="K49">
        <v>47.15</v>
      </c>
      <c r="L49" t="s">
        <v>55</v>
      </c>
    </row>
    <row r="50" spans="1:49" ht="14.1" customHeight="1" x14ac:dyDescent="0.2">
      <c r="A50" s="20" t="s">
        <v>90</v>
      </c>
      <c r="B50" s="20">
        <v>1466635.3671118</v>
      </c>
      <c r="C50" s="20">
        <v>-336541.13084608997</v>
      </c>
      <c r="D50" s="20" t="s">
        <v>82</v>
      </c>
      <c r="E50" s="20">
        <v>2375053.6585566499</v>
      </c>
      <c r="F50" s="20" t="s">
        <v>51</v>
      </c>
      <c r="G50" s="20" t="s">
        <v>88</v>
      </c>
      <c r="H50" s="20" t="s">
        <v>70</v>
      </c>
      <c r="I50" s="20" t="s">
        <v>54</v>
      </c>
      <c r="J50" s="20">
        <v>9.5</v>
      </c>
      <c r="K50" s="20">
        <v>47.15</v>
      </c>
      <c r="L50" s="20" t="s">
        <v>55</v>
      </c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</row>
    <row r="51" spans="1:49" ht="14.1" customHeight="1" x14ac:dyDescent="0.2">
      <c r="A51" t="s">
        <v>91</v>
      </c>
      <c r="B51">
        <v>1464697.6796671201</v>
      </c>
      <c r="C51">
        <v>-334213.45571926102</v>
      </c>
      <c r="D51" t="s">
        <v>63</v>
      </c>
      <c r="E51">
        <v>2431945.9785411698</v>
      </c>
      <c r="F51" t="s">
        <v>51</v>
      </c>
      <c r="G51" s="18" t="s">
        <v>197</v>
      </c>
      <c r="H51" s="18" t="s">
        <v>196</v>
      </c>
      <c r="I51" t="s">
        <v>54</v>
      </c>
      <c r="J51">
        <v>9.73</v>
      </c>
      <c r="K51">
        <v>34.1</v>
      </c>
      <c r="L51" t="s">
        <v>55</v>
      </c>
    </row>
    <row r="52" spans="1:49" s="1" customFormat="1" ht="14.1" customHeight="1" x14ac:dyDescent="0.2">
      <c r="A52" s="20" t="s">
        <v>91</v>
      </c>
      <c r="B52" s="20">
        <v>1464697.6796671201</v>
      </c>
      <c r="C52" s="20">
        <v>-334213.45571926102</v>
      </c>
      <c r="D52" s="20" t="s">
        <v>63</v>
      </c>
      <c r="E52" s="20">
        <v>2431945.9785411698</v>
      </c>
      <c r="F52" s="20" t="s">
        <v>51</v>
      </c>
      <c r="G52" s="20" t="s">
        <v>88</v>
      </c>
      <c r="H52" s="20" t="s">
        <v>70</v>
      </c>
      <c r="I52" s="20" t="s">
        <v>54</v>
      </c>
      <c r="J52" s="20">
        <v>9.73</v>
      </c>
      <c r="K52" s="20">
        <v>34.1</v>
      </c>
      <c r="L52" s="20" t="s">
        <v>55</v>
      </c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</row>
    <row r="53" spans="1:49" s="1" customFormat="1" ht="14.1" customHeight="1" x14ac:dyDescent="0.2">
      <c r="A53" s="1" t="s">
        <v>92</v>
      </c>
      <c r="B53" s="1">
        <v>1474071.4814560099</v>
      </c>
      <c r="C53" s="1">
        <v>-334051.12480065803</v>
      </c>
      <c r="D53" s="1" t="s">
        <v>50</v>
      </c>
      <c r="E53" s="1">
        <v>1539862.4160863401</v>
      </c>
      <c r="F53" s="1" t="s">
        <v>51</v>
      </c>
      <c r="G53" s="18" t="s">
        <v>197</v>
      </c>
      <c r="H53" s="18" t="s">
        <v>53</v>
      </c>
      <c r="I53" s="1" t="s">
        <v>54</v>
      </c>
      <c r="J53" s="1">
        <v>6.16</v>
      </c>
      <c r="K53" s="1">
        <v>74.88</v>
      </c>
      <c r="L53" s="1" t="s">
        <v>55</v>
      </c>
      <c r="M53" s="2">
        <v>43194</v>
      </c>
      <c r="N53" s="3">
        <v>0.52569444444444446</v>
      </c>
      <c r="O53" s="4">
        <v>0.53385416666666663</v>
      </c>
      <c r="P53" s="2">
        <v>43195</v>
      </c>
      <c r="Q53" s="1">
        <v>45</v>
      </c>
      <c r="R53" s="1" t="s">
        <v>56</v>
      </c>
      <c r="S53" s="1" t="s">
        <v>54</v>
      </c>
      <c r="T53" s="1" t="s">
        <v>54</v>
      </c>
      <c r="U53" s="1" t="s">
        <v>54</v>
      </c>
      <c r="V53" s="1" t="s">
        <v>54</v>
      </c>
      <c r="W53" s="1" t="s">
        <v>54</v>
      </c>
      <c r="X53" s="1" t="s">
        <v>54</v>
      </c>
      <c r="Y53" s="1" t="s">
        <v>54</v>
      </c>
      <c r="Z53" s="1" t="s">
        <v>54</v>
      </c>
      <c r="AA53" s="1" t="s">
        <v>54</v>
      </c>
      <c r="AB53" s="1" t="s">
        <v>54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2">
        <v>43195</v>
      </c>
      <c r="AR53" s="3">
        <v>0.53333333333333333</v>
      </c>
      <c r="AS53" s="1">
        <v>0</v>
      </c>
      <c r="AT53" s="1" t="s">
        <v>54</v>
      </c>
      <c r="AU53" s="1" t="s">
        <v>54</v>
      </c>
      <c r="AV53" s="1">
        <v>36.008828000000001</v>
      </c>
      <c r="AW53" s="1">
        <v>78.628139000000004</v>
      </c>
    </row>
    <row r="54" spans="1:49" s="1" customFormat="1" ht="14.1" customHeight="1" x14ac:dyDescent="0.2">
      <c r="A54" s="20" t="s">
        <v>92</v>
      </c>
      <c r="B54" s="20">
        <v>1474071.4814560099</v>
      </c>
      <c r="C54" s="20">
        <v>-334051.12480065803</v>
      </c>
      <c r="D54" s="20" t="s">
        <v>50</v>
      </c>
      <c r="E54" s="20">
        <v>1539862.4160863401</v>
      </c>
      <c r="F54" s="20" t="s">
        <v>51</v>
      </c>
      <c r="G54" s="20" t="s">
        <v>88</v>
      </c>
      <c r="H54" s="20" t="s">
        <v>70</v>
      </c>
      <c r="I54" s="20" t="s">
        <v>54</v>
      </c>
      <c r="J54" s="20">
        <v>6.16</v>
      </c>
      <c r="K54" s="20">
        <v>74.88</v>
      </c>
      <c r="L54" s="20" t="s">
        <v>55</v>
      </c>
      <c r="M54" s="21">
        <v>43194</v>
      </c>
      <c r="N54" s="22">
        <v>0.52569444444444446</v>
      </c>
      <c r="O54" s="23">
        <v>0.53385416666666663</v>
      </c>
      <c r="P54" s="21">
        <v>43195</v>
      </c>
      <c r="Q54" s="20">
        <v>45</v>
      </c>
      <c r="R54" s="20" t="s">
        <v>56</v>
      </c>
      <c r="S54" s="20" t="s">
        <v>54</v>
      </c>
      <c r="T54" s="20" t="s">
        <v>54</v>
      </c>
      <c r="U54" s="20" t="s">
        <v>54</v>
      </c>
      <c r="V54" s="20" t="s">
        <v>54</v>
      </c>
      <c r="W54" s="20" t="s">
        <v>54</v>
      </c>
      <c r="X54" s="20" t="s">
        <v>54</v>
      </c>
      <c r="Y54" s="20" t="s">
        <v>54</v>
      </c>
      <c r="Z54" s="20" t="s">
        <v>54</v>
      </c>
      <c r="AA54" s="20" t="s">
        <v>54</v>
      </c>
      <c r="AB54" s="20" t="s">
        <v>54</v>
      </c>
      <c r="AC54" s="20" t="s">
        <v>54</v>
      </c>
      <c r="AD54" s="20" t="s">
        <v>54</v>
      </c>
      <c r="AE54" s="20" t="s">
        <v>54</v>
      </c>
      <c r="AF54" s="20" t="s">
        <v>54</v>
      </c>
      <c r="AG54" s="20" t="s">
        <v>54</v>
      </c>
      <c r="AH54" s="20" t="s">
        <v>54</v>
      </c>
      <c r="AI54" s="20" t="s">
        <v>54</v>
      </c>
      <c r="AJ54" s="20" t="s">
        <v>54</v>
      </c>
      <c r="AK54" s="20" t="s">
        <v>54</v>
      </c>
      <c r="AL54" s="20" t="s">
        <v>54</v>
      </c>
      <c r="AM54" s="20" t="s">
        <v>54</v>
      </c>
      <c r="AN54" s="20" t="s">
        <v>54</v>
      </c>
      <c r="AO54" s="20" t="s">
        <v>54</v>
      </c>
      <c r="AP54" s="20" t="s">
        <v>54</v>
      </c>
      <c r="AQ54" s="21">
        <v>43195</v>
      </c>
      <c r="AR54" s="22">
        <v>0.53333333333333333</v>
      </c>
      <c r="AS54" s="20">
        <v>0</v>
      </c>
      <c r="AT54" s="20" t="s">
        <v>54</v>
      </c>
      <c r="AU54" s="20" t="s">
        <v>54</v>
      </c>
      <c r="AV54" s="20">
        <v>36.008828000000001</v>
      </c>
      <c r="AW54" s="20">
        <v>78.628139000000004</v>
      </c>
    </row>
    <row r="55" spans="1:49" s="1" customFormat="1" ht="14.1" customHeight="1" x14ac:dyDescent="0.2">
      <c r="A55" t="s">
        <v>93</v>
      </c>
      <c r="B55">
        <v>1463782.19599281</v>
      </c>
      <c r="C55">
        <v>-333650.36326726701</v>
      </c>
      <c r="D55" t="s">
        <v>63</v>
      </c>
      <c r="E55">
        <v>2431945.9785411698</v>
      </c>
      <c r="F55" t="s">
        <v>51</v>
      </c>
      <c r="G55" s="18" t="s">
        <v>197</v>
      </c>
      <c r="H55" s="18" t="s">
        <v>196</v>
      </c>
      <c r="I55" t="s">
        <v>54</v>
      </c>
      <c r="J55">
        <v>9.73</v>
      </c>
      <c r="K55">
        <v>34.1</v>
      </c>
      <c r="L55" t="s">
        <v>55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</row>
    <row r="56" spans="1:49" s="1" customFormat="1" ht="14.1" customHeight="1" x14ac:dyDescent="0.2">
      <c r="A56" s="20" t="s">
        <v>93</v>
      </c>
      <c r="B56" s="20">
        <v>1463782.19599281</v>
      </c>
      <c r="C56" s="20">
        <v>-333650.36326726701</v>
      </c>
      <c r="D56" s="20" t="s">
        <v>63</v>
      </c>
      <c r="E56" s="20">
        <v>2431945.9785411698</v>
      </c>
      <c r="F56" s="20" t="s">
        <v>51</v>
      </c>
      <c r="G56" s="20" t="s">
        <v>88</v>
      </c>
      <c r="H56" s="20" t="s">
        <v>70</v>
      </c>
      <c r="I56" s="20" t="s">
        <v>54</v>
      </c>
      <c r="J56" s="20">
        <v>9.73</v>
      </c>
      <c r="K56" s="20">
        <v>34.1</v>
      </c>
      <c r="L56" s="20" t="s">
        <v>55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</row>
    <row r="57" spans="1:49" ht="14.1" customHeight="1" x14ac:dyDescent="0.2">
      <c r="A57" t="s">
        <v>94</v>
      </c>
      <c r="B57">
        <v>1466637.8331307599</v>
      </c>
      <c r="C57">
        <v>-333258.80687149602</v>
      </c>
      <c r="D57" t="s">
        <v>82</v>
      </c>
      <c r="E57">
        <v>2375053.6585566499</v>
      </c>
      <c r="F57" t="s">
        <v>51</v>
      </c>
      <c r="G57" s="18" t="s">
        <v>197</v>
      </c>
      <c r="H57" s="18" t="s">
        <v>196</v>
      </c>
      <c r="I57" t="s">
        <v>54</v>
      </c>
      <c r="J57">
        <v>9.5</v>
      </c>
      <c r="K57">
        <v>47.15</v>
      </c>
      <c r="L57" t="s">
        <v>55</v>
      </c>
    </row>
    <row r="58" spans="1:49" s="1" customFormat="1" ht="14.1" customHeight="1" x14ac:dyDescent="0.2">
      <c r="A58" s="20" t="s">
        <v>94</v>
      </c>
      <c r="B58" s="20">
        <v>1466637.8331307599</v>
      </c>
      <c r="C58" s="20">
        <v>-333258.80687149602</v>
      </c>
      <c r="D58" s="20" t="s">
        <v>82</v>
      </c>
      <c r="E58" s="20">
        <v>2375053.6585566499</v>
      </c>
      <c r="F58" s="20" t="s">
        <v>51</v>
      </c>
      <c r="G58" s="20" t="s">
        <v>88</v>
      </c>
      <c r="H58" s="20" t="s">
        <v>70</v>
      </c>
      <c r="I58" s="20" t="s">
        <v>54</v>
      </c>
      <c r="J58" s="20">
        <v>9.5</v>
      </c>
      <c r="K58" s="20">
        <v>47.15</v>
      </c>
      <c r="L58" s="20" t="s">
        <v>55</v>
      </c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</row>
    <row r="59" spans="1:49" ht="14.1" customHeight="1" x14ac:dyDescent="0.2">
      <c r="A59" s="1" t="s">
        <v>95</v>
      </c>
      <c r="B59" s="1">
        <v>1478871.1743478</v>
      </c>
      <c r="C59" s="1">
        <v>-341117.28595644399</v>
      </c>
      <c r="D59" s="1" t="s">
        <v>59</v>
      </c>
      <c r="E59" s="1">
        <v>1714544.6322379201</v>
      </c>
      <c r="F59" s="1" t="s">
        <v>51</v>
      </c>
      <c r="G59" s="18" t="s">
        <v>197</v>
      </c>
      <c r="H59" s="1" t="s">
        <v>53</v>
      </c>
      <c r="I59" s="1" t="s">
        <v>54</v>
      </c>
      <c r="J59" s="1">
        <v>6.86</v>
      </c>
      <c r="K59" s="1">
        <v>68.05</v>
      </c>
      <c r="L59" s="1" t="s">
        <v>55</v>
      </c>
      <c r="M59" s="2">
        <v>43194</v>
      </c>
      <c r="N59" s="3">
        <v>0.56388888888888888</v>
      </c>
      <c r="O59" s="3">
        <v>0.58371527777777776</v>
      </c>
      <c r="P59" s="2">
        <v>43195</v>
      </c>
      <c r="Q59" s="1">
        <v>45</v>
      </c>
      <c r="R59" s="1" t="s">
        <v>56</v>
      </c>
      <c r="S59" s="1" t="s">
        <v>54</v>
      </c>
      <c r="T59" s="1" t="s">
        <v>54</v>
      </c>
      <c r="U59" s="1" t="s">
        <v>54</v>
      </c>
      <c r="V59" s="1" t="s">
        <v>54</v>
      </c>
      <c r="W59" s="1" t="s">
        <v>54</v>
      </c>
      <c r="X59" s="1" t="s">
        <v>54</v>
      </c>
      <c r="Y59" s="1" t="s">
        <v>54</v>
      </c>
      <c r="Z59" s="1" t="s">
        <v>54</v>
      </c>
      <c r="AA59" s="1" t="s">
        <v>54</v>
      </c>
      <c r="AB59" s="1" t="s">
        <v>54</v>
      </c>
      <c r="AC59" s="1" t="s">
        <v>54</v>
      </c>
      <c r="AD59" s="1" t="s">
        <v>54</v>
      </c>
      <c r="AE59" s="1" t="s">
        <v>54</v>
      </c>
      <c r="AF59" s="1" t="s">
        <v>54</v>
      </c>
      <c r="AG59" s="1" t="s">
        <v>54</v>
      </c>
      <c r="AH59" s="1" t="s">
        <v>54</v>
      </c>
      <c r="AI59" s="1" t="s">
        <v>54</v>
      </c>
      <c r="AJ59" s="1" t="s">
        <v>54</v>
      </c>
      <c r="AK59" s="1" t="s">
        <v>54</v>
      </c>
      <c r="AL59" s="1" t="s">
        <v>54</v>
      </c>
      <c r="AM59" s="1" t="s">
        <v>54</v>
      </c>
      <c r="AN59" s="1" t="s">
        <v>54</v>
      </c>
      <c r="AO59" s="1" t="s">
        <v>54</v>
      </c>
      <c r="AP59" s="1" t="s">
        <v>54</v>
      </c>
      <c r="AQ59" s="2">
        <v>43195</v>
      </c>
      <c r="AR59" s="3">
        <v>0.57500000000000007</v>
      </c>
      <c r="AS59" s="1">
        <v>0</v>
      </c>
      <c r="AT59" s="1" t="s">
        <v>54</v>
      </c>
      <c r="AU59" s="1" t="s">
        <v>54</v>
      </c>
      <c r="AV59" s="1">
        <v>35.942042999999998</v>
      </c>
      <c r="AW59" s="1">
        <v>78.588119000000006</v>
      </c>
    </row>
    <row r="60" spans="1:49" s="1" customFormat="1" ht="14.1" customHeight="1" x14ac:dyDescent="0.2">
      <c r="A60" s="20" t="s">
        <v>95</v>
      </c>
      <c r="B60" s="20">
        <v>1478871.1743478</v>
      </c>
      <c r="C60" s="20">
        <v>-341117.28595644399</v>
      </c>
      <c r="D60" s="20" t="s">
        <v>59</v>
      </c>
      <c r="E60" s="20">
        <v>1714544.6322379201</v>
      </c>
      <c r="F60" s="20" t="s">
        <v>51</v>
      </c>
      <c r="G60" s="20" t="s">
        <v>88</v>
      </c>
      <c r="H60" s="20" t="s">
        <v>53</v>
      </c>
      <c r="I60" s="20" t="s">
        <v>54</v>
      </c>
      <c r="J60" s="20">
        <v>6.86</v>
      </c>
      <c r="K60" s="20">
        <v>68.05</v>
      </c>
      <c r="L60" s="20" t="s">
        <v>55</v>
      </c>
      <c r="M60" s="21">
        <v>43194</v>
      </c>
      <c r="N60" s="22">
        <v>0.56388888888888888</v>
      </c>
      <c r="O60" s="22">
        <v>0.58371527777777776</v>
      </c>
      <c r="P60" s="21">
        <v>43195</v>
      </c>
      <c r="Q60" s="20">
        <v>45</v>
      </c>
      <c r="R60" s="20" t="s">
        <v>56</v>
      </c>
      <c r="S60" s="20" t="s">
        <v>54</v>
      </c>
      <c r="T60" s="20" t="s">
        <v>54</v>
      </c>
      <c r="U60" s="20" t="s">
        <v>54</v>
      </c>
      <c r="V60" s="20" t="s">
        <v>54</v>
      </c>
      <c r="W60" s="20" t="s">
        <v>54</v>
      </c>
      <c r="X60" s="20" t="s">
        <v>54</v>
      </c>
      <c r="Y60" s="20" t="s">
        <v>54</v>
      </c>
      <c r="Z60" s="20" t="s">
        <v>54</v>
      </c>
      <c r="AA60" s="20" t="s">
        <v>54</v>
      </c>
      <c r="AB60" s="20" t="s">
        <v>54</v>
      </c>
      <c r="AC60" s="20" t="s">
        <v>54</v>
      </c>
      <c r="AD60" s="20" t="s">
        <v>54</v>
      </c>
      <c r="AE60" s="20" t="s">
        <v>54</v>
      </c>
      <c r="AF60" s="20" t="s">
        <v>54</v>
      </c>
      <c r="AG60" s="20" t="s">
        <v>54</v>
      </c>
      <c r="AH60" s="20" t="s">
        <v>54</v>
      </c>
      <c r="AI60" s="20" t="s">
        <v>54</v>
      </c>
      <c r="AJ60" s="20" t="s">
        <v>54</v>
      </c>
      <c r="AK60" s="20" t="s">
        <v>54</v>
      </c>
      <c r="AL60" s="20" t="s">
        <v>54</v>
      </c>
      <c r="AM60" s="20" t="s">
        <v>54</v>
      </c>
      <c r="AN60" s="20" t="s">
        <v>54</v>
      </c>
      <c r="AO60" s="20" t="s">
        <v>54</v>
      </c>
      <c r="AP60" s="20" t="s">
        <v>54</v>
      </c>
      <c r="AQ60" s="21">
        <v>43195</v>
      </c>
      <c r="AR60" s="22">
        <v>0.57500000000000007</v>
      </c>
      <c r="AS60" s="20">
        <v>0</v>
      </c>
      <c r="AT60" s="20" t="s">
        <v>54</v>
      </c>
      <c r="AU60" s="20" t="s">
        <v>54</v>
      </c>
      <c r="AV60" s="20">
        <v>35.942042999999998</v>
      </c>
      <c r="AW60" s="20">
        <v>78.588119000000006</v>
      </c>
    </row>
    <row r="61" spans="1:49" s="1" customFormat="1" ht="14.1" customHeight="1" x14ac:dyDescent="0.2">
      <c r="A61" t="s">
        <v>96</v>
      </c>
      <c r="B61">
        <v>1474281.8653448599</v>
      </c>
      <c r="C61">
        <v>-338339.82420366898</v>
      </c>
      <c r="D61" t="s">
        <v>50</v>
      </c>
      <c r="E61">
        <v>1539862.4160863401</v>
      </c>
      <c r="F61" t="s">
        <v>51</v>
      </c>
      <c r="G61" s="18" t="s">
        <v>197</v>
      </c>
      <c r="H61" s="18" t="s">
        <v>196</v>
      </c>
      <c r="I61" t="s">
        <v>54</v>
      </c>
      <c r="J61">
        <v>6.16</v>
      </c>
      <c r="K61">
        <v>74.88</v>
      </c>
      <c r="L61" t="s">
        <v>55</v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1:49" ht="14.1" customHeight="1" x14ac:dyDescent="0.2">
      <c r="A62" s="20" t="s">
        <v>96</v>
      </c>
      <c r="B62" s="20">
        <v>1474281.8653448599</v>
      </c>
      <c r="C62" s="20">
        <v>-338339.82420366898</v>
      </c>
      <c r="D62" s="20" t="s">
        <v>50</v>
      </c>
      <c r="E62" s="20">
        <v>1539862.4160863401</v>
      </c>
      <c r="F62" s="20" t="s">
        <v>51</v>
      </c>
      <c r="G62" s="20" t="s">
        <v>88</v>
      </c>
      <c r="H62" s="20" t="s">
        <v>70</v>
      </c>
      <c r="I62" s="20" t="s">
        <v>54</v>
      </c>
      <c r="J62" s="20">
        <v>6.16</v>
      </c>
      <c r="K62" s="20">
        <v>74.88</v>
      </c>
      <c r="L62" s="20" t="s">
        <v>55</v>
      </c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</row>
    <row r="63" spans="1:49" s="1" customFormat="1" ht="14.1" customHeight="1" x14ac:dyDescent="0.2">
      <c r="A63" t="s">
        <v>97</v>
      </c>
      <c r="B63">
        <v>1476916.2227235101</v>
      </c>
      <c r="C63">
        <v>-339083.98957078002</v>
      </c>
      <c r="D63" t="s">
        <v>59</v>
      </c>
      <c r="E63">
        <v>1714544.6322379201</v>
      </c>
      <c r="F63" t="s">
        <v>51</v>
      </c>
      <c r="G63" s="18" t="s">
        <v>197</v>
      </c>
      <c r="H63" s="18" t="s">
        <v>196</v>
      </c>
      <c r="I63" t="s">
        <v>54</v>
      </c>
      <c r="J63">
        <v>6.86</v>
      </c>
      <c r="K63">
        <v>68.05</v>
      </c>
      <c r="L63" t="s">
        <v>55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1:49" s="1" customFormat="1" ht="14.1" customHeight="1" x14ac:dyDescent="0.2">
      <c r="A64" s="20" t="s">
        <v>97</v>
      </c>
      <c r="B64" s="20">
        <v>1476916.2227235101</v>
      </c>
      <c r="C64" s="20">
        <v>-339083.98957078002</v>
      </c>
      <c r="D64" s="20" t="s">
        <v>59</v>
      </c>
      <c r="E64" s="20">
        <v>1714544.6322379201</v>
      </c>
      <c r="F64" s="20" t="s">
        <v>51</v>
      </c>
      <c r="G64" s="20" t="s">
        <v>88</v>
      </c>
      <c r="H64" s="20" t="s">
        <v>70</v>
      </c>
      <c r="I64" s="20" t="s">
        <v>54</v>
      </c>
      <c r="J64" s="20">
        <v>6.86</v>
      </c>
      <c r="K64" s="20">
        <v>68.05</v>
      </c>
      <c r="L64" s="20" t="s">
        <v>55</v>
      </c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</row>
    <row r="65" spans="1:49" s="1" customFormat="1" ht="14.1" customHeight="1" x14ac:dyDescent="0.2">
      <c r="A65" t="s">
        <v>98</v>
      </c>
      <c r="B65">
        <v>1465137.89120007</v>
      </c>
      <c r="C65">
        <v>-332813.54121366597</v>
      </c>
      <c r="D65" t="s">
        <v>63</v>
      </c>
      <c r="E65">
        <v>2431945.9785411698</v>
      </c>
      <c r="F65" t="s">
        <v>51</v>
      </c>
      <c r="G65" s="18" t="s">
        <v>197</v>
      </c>
      <c r="H65" s="18" t="s">
        <v>196</v>
      </c>
      <c r="I65" t="s">
        <v>54</v>
      </c>
      <c r="J65">
        <v>9.73</v>
      </c>
      <c r="K65">
        <v>34.1</v>
      </c>
      <c r="L65" t="s">
        <v>55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pans="1:49" s="1" customFormat="1" ht="14.1" customHeight="1" x14ac:dyDescent="0.2">
      <c r="A66" s="20" t="s">
        <v>98</v>
      </c>
      <c r="B66" s="20">
        <v>1465137.89120007</v>
      </c>
      <c r="C66" s="20">
        <v>-332813.54121366597</v>
      </c>
      <c r="D66" s="20" t="s">
        <v>63</v>
      </c>
      <c r="E66" s="20">
        <v>2431945.9785411698</v>
      </c>
      <c r="F66" s="20" t="s">
        <v>51</v>
      </c>
      <c r="G66" s="20" t="s">
        <v>88</v>
      </c>
      <c r="H66" s="20" t="s">
        <v>70</v>
      </c>
      <c r="I66" s="20" t="s">
        <v>54</v>
      </c>
      <c r="J66" s="20">
        <v>9.73</v>
      </c>
      <c r="K66" s="20">
        <v>34.1</v>
      </c>
      <c r="L66" s="20" t="s">
        <v>55</v>
      </c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</row>
    <row r="67" spans="1:49" s="1" customFormat="1" ht="14.1" customHeight="1" x14ac:dyDescent="0.2">
      <c r="A67" t="s">
        <v>99</v>
      </c>
      <c r="B67">
        <v>1466082.2033639599</v>
      </c>
      <c r="C67">
        <v>-334522.11946422898</v>
      </c>
      <c r="D67" t="s">
        <v>63</v>
      </c>
      <c r="E67">
        <v>2431945.9785411698</v>
      </c>
      <c r="F67" t="s">
        <v>51</v>
      </c>
      <c r="G67" s="18" t="s">
        <v>197</v>
      </c>
      <c r="H67" s="18" t="s">
        <v>196</v>
      </c>
      <c r="I67" t="s">
        <v>54</v>
      </c>
      <c r="J67">
        <v>9.73</v>
      </c>
      <c r="K67">
        <v>34.1</v>
      </c>
      <c r="L67" t="s">
        <v>55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</row>
    <row r="68" spans="1:49" s="1" customFormat="1" ht="14.1" customHeight="1" x14ac:dyDescent="0.2">
      <c r="A68" s="20" t="s">
        <v>99</v>
      </c>
      <c r="B68" s="20">
        <v>1466082.2033639599</v>
      </c>
      <c r="C68" s="20">
        <v>-334522.11946422898</v>
      </c>
      <c r="D68" s="20" t="s">
        <v>63</v>
      </c>
      <c r="E68" s="20">
        <v>2431945.9785411698</v>
      </c>
      <c r="F68" s="20" t="s">
        <v>51</v>
      </c>
      <c r="G68" s="20" t="s">
        <v>88</v>
      </c>
      <c r="H68" s="20" t="s">
        <v>70</v>
      </c>
      <c r="I68" s="20" t="s">
        <v>54</v>
      </c>
      <c r="J68" s="20">
        <v>9.73</v>
      </c>
      <c r="K68" s="20">
        <v>34.1</v>
      </c>
      <c r="L68" s="20" t="s">
        <v>55</v>
      </c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</row>
    <row r="69" spans="1:49" ht="14.1" customHeight="1" x14ac:dyDescent="0.2">
      <c r="A69" t="s">
        <v>100</v>
      </c>
      <c r="B69">
        <v>1472727.8701414301</v>
      </c>
      <c r="C69">
        <v>-335939.681733031</v>
      </c>
      <c r="D69" t="s">
        <v>50</v>
      </c>
      <c r="E69">
        <v>1539862.4160863401</v>
      </c>
      <c r="F69" t="s">
        <v>51</v>
      </c>
      <c r="G69" s="18" t="s">
        <v>197</v>
      </c>
      <c r="H69" s="18" t="s">
        <v>196</v>
      </c>
      <c r="I69" t="s">
        <v>54</v>
      </c>
      <c r="J69">
        <v>6.16</v>
      </c>
      <c r="K69">
        <v>74.88</v>
      </c>
      <c r="L69" t="s">
        <v>55</v>
      </c>
    </row>
    <row r="70" spans="1:49" ht="14.1" customHeight="1" x14ac:dyDescent="0.2">
      <c r="A70" s="20" t="s">
        <v>100</v>
      </c>
      <c r="B70" s="20">
        <v>1472727.8701414301</v>
      </c>
      <c r="C70" s="20">
        <v>-335939.681733031</v>
      </c>
      <c r="D70" s="20" t="s">
        <v>50</v>
      </c>
      <c r="E70" s="20">
        <v>1539862.4160863401</v>
      </c>
      <c r="F70" s="20" t="s">
        <v>51</v>
      </c>
      <c r="G70" s="20" t="s">
        <v>88</v>
      </c>
      <c r="H70" s="20" t="s">
        <v>70</v>
      </c>
      <c r="I70" s="20" t="s">
        <v>54</v>
      </c>
      <c r="J70" s="20">
        <v>6.16</v>
      </c>
      <c r="K70" s="20">
        <v>74.88</v>
      </c>
      <c r="L70" s="20" t="s">
        <v>55</v>
      </c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</row>
    <row r="71" spans="1:49" ht="14.1" customHeight="1" x14ac:dyDescent="0.2">
      <c r="A71" t="s">
        <v>101</v>
      </c>
      <c r="B71">
        <v>1465276.0265150401</v>
      </c>
      <c r="C71">
        <v>-330959.58049092599</v>
      </c>
      <c r="D71" t="s">
        <v>82</v>
      </c>
      <c r="E71">
        <v>2375053.6585566499</v>
      </c>
      <c r="F71" t="s">
        <v>51</v>
      </c>
      <c r="G71" s="18" t="s">
        <v>197</v>
      </c>
      <c r="H71" s="18" t="s">
        <v>196</v>
      </c>
      <c r="I71" t="s">
        <v>54</v>
      </c>
      <c r="J71">
        <v>9.5</v>
      </c>
      <c r="K71">
        <v>47.15</v>
      </c>
      <c r="L71" t="s">
        <v>55</v>
      </c>
    </row>
    <row r="72" spans="1:49" ht="14.1" customHeight="1" x14ac:dyDescent="0.2">
      <c r="A72" s="20" t="s">
        <v>101</v>
      </c>
      <c r="B72" s="20">
        <v>1465276.0265150401</v>
      </c>
      <c r="C72" s="20">
        <v>-330959.58049092599</v>
      </c>
      <c r="D72" s="20" t="s">
        <v>82</v>
      </c>
      <c r="E72" s="20">
        <v>2375053.6585566499</v>
      </c>
      <c r="F72" s="20" t="s">
        <v>51</v>
      </c>
      <c r="G72" s="20" t="s">
        <v>88</v>
      </c>
      <c r="H72" s="20" t="s">
        <v>70</v>
      </c>
      <c r="I72" s="20" t="s">
        <v>54</v>
      </c>
      <c r="J72" s="20">
        <v>9.5</v>
      </c>
      <c r="K72" s="20">
        <v>47.15</v>
      </c>
      <c r="L72" s="20" t="s">
        <v>55</v>
      </c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</row>
    <row r="73" spans="1:49" ht="14.1" customHeight="1" x14ac:dyDescent="0.2">
      <c r="A73" t="s">
        <v>102</v>
      </c>
      <c r="B73">
        <v>1466262.3207775</v>
      </c>
      <c r="C73">
        <v>-331948.785246054</v>
      </c>
      <c r="D73" t="s">
        <v>82</v>
      </c>
      <c r="E73">
        <v>2375053.6585566499</v>
      </c>
      <c r="F73" t="s">
        <v>51</v>
      </c>
      <c r="G73" s="18" t="s">
        <v>197</v>
      </c>
      <c r="H73" s="18" t="s">
        <v>196</v>
      </c>
      <c r="I73" t="s">
        <v>54</v>
      </c>
      <c r="J73">
        <v>9.5</v>
      </c>
      <c r="K73">
        <v>47.15</v>
      </c>
      <c r="L73" t="s">
        <v>55</v>
      </c>
    </row>
    <row r="74" spans="1:49" ht="14.1" customHeight="1" x14ac:dyDescent="0.2">
      <c r="A74" s="20" t="s">
        <v>102</v>
      </c>
      <c r="B74" s="20">
        <v>1466262.3207775</v>
      </c>
      <c r="C74" s="20">
        <v>-331948.785246054</v>
      </c>
      <c r="D74" s="20" t="s">
        <v>82</v>
      </c>
      <c r="E74" s="20">
        <v>2375053.6585566499</v>
      </c>
      <c r="F74" s="20" t="s">
        <v>51</v>
      </c>
      <c r="G74" s="20" t="s">
        <v>88</v>
      </c>
      <c r="H74" s="20" t="s">
        <v>70</v>
      </c>
      <c r="I74" s="20" t="s">
        <v>54</v>
      </c>
      <c r="J74" s="20">
        <v>9.5</v>
      </c>
      <c r="K74" s="20">
        <v>47.15</v>
      </c>
      <c r="L74" s="20" t="s">
        <v>55</v>
      </c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</row>
    <row r="75" spans="1:49" ht="14.1" customHeight="1" x14ac:dyDescent="0.2">
      <c r="A75" t="s">
        <v>103</v>
      </c>
      <c r="B75">
        <v>1478287.1369645</v>
      </c>
      <c r="C75">
        <v>-341378.166103222</v>
      </c>
      <c r="D75" t="s">
        <v>59</v>
      </c>
      <c r="E75">
        <v>1714544.6322379201</v>
      </c>
      <c r="F75" t="s">
        <v>51</v>
      </c>
      <c r="G75" s="18" t="s">
        <v>197</v>
      </c>
      <c r="H75" s="18" t="s">
        <v>196</v>
      </c>
      <c r="I75" t="s">
        <v>54</v>
      </c>
      <c r="J75">
        <v>6.86</v>
      </c>
      <c r="K75">
        <v>68.05</v>
      </c>
      <c r="L75" t="s">
        <v>55</v>
      </c>
    </row>
    <row r="76" spans="1:49" ht="14.1" customHeight="1" x14ac:dyDescent="0.2">
      <c r="A76" s="20" t="s">
        <v>103</v>
      </c>
      <c r="B76" s="20">
        <v>1478287.1369645</v>
      </c>
      <c r="C76" s="20">
        <v>-341378.166103222</v>
      </c>
      <c r="D76" s="20" t="s">
        <v>59</v>
      </c>
      <c r="E76" s="20">
        <v>1714544.6322379201</v>
      </c>
      <c r="F76" s="20" t="s">
        <v>51</v>
      </c>
      <c r="G76" s="20" t="s">
        <v>88</v>
      </c>
      <c r="H76" s="20" t="s">
        <v>70</v>
      </c>
      <c r="I76" s="20" t="s">
        <v>54</v>
      </c>
      <c r="J76" s="20">
        <v>6.86</v>
      </c>
      <c r="K76" s="20">
        <v>68.05</v>
      </c>
      <c r="L76" s="20" t="s">
        <v>55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</row>
    <row r="77" spans="1:49" ht="14.1" customHeight="1" x14ac:dyDescent="0.2">
      <c r="A77" t="s">
        <v>104</v>
      </c>
      <c r="B77">
        <v>1472911.3665700001</v>
      </c>
      <c r="C77">
        <v>-336658.87139683502</v>
      </c>
      <c r="D77" t="s">
        <v>50</v>
      </c>
      <c r="E77">
        <v>1539862.4160863401</v>
      </c>
      <c r="F77" t="s">
        <v>51</v>
      </c>
      <c r="G77" s="18" t="s">
        <v>197</v>
      </c>
      <c r="H77" s="18" t="s">
        <v>196</v>
      </c>
      <c r="I77" t="s">
        <v>54</v>
      </c>
      <c r="J77">
        <v>6.16</v>
      </c>
      <c r="K77">
        <v>74.88</v>
      </c>
      <c r="L77" t="s">
        <v>55</v>
      </c>
    </row>
    <row r="78" spans="1:49" ht="14.1" customHeight="1" x14ac:dyDescent="0.2">
      <c r="A78" s="20" t="s">
        <v>104</v>
      </c>
      <c r="B78" s="20">
        <v>1472911.3665700001</v>
      </c>
      <c r="C78" s="20">
        <v>-336658.87139683502</v>
      </c>
      <c r="D78" s="20" t="s">
        <v>50</v>
      </c>
      <c r="E78" s="20">
        <v>1539862.4160863401</v>
      </c>
      <c r="F78" s="20" t="s">
        <v>51</v>
      </c>
      <c r="G78" s="20" t="s">
        <v>88</v>
      </c>
      <c r="H78" s="20" t="s">
        <v>70</v>
      </c>
      <c r="I78" s="20" t="s">
        <v>54</v>
      </c>
      <c r="J78" s="20">
        <v>6.16</v>
      </c>
      <c r="K78" s="20">
        <v>74.88</v>
      </c>
      <c r="L78" s="20" t="s">
        <v>55</v>
      </c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</row>
    <row r="79" spans="1:49" ht="14.1" customHeight="1" x14ac:dyDescent="0.2">
      <c r="A79" t="s">
        <v>105</v>
      </c>
      <c r="B79">
        <v>1463664.8937470401</v>
      </c>
      <c r="C79">
        <v>-333193.57717041299</v>
      </c>
      <c r="D79" t="s">
        <v>63</v>
      </c>
      <c r="E79">
        <v>2431945.9785411698</v>
      </c>
      <c r="F79" t="s">
        <v>51</v>
      </c>
      <c r="G79" s="18" t="s">
        <v>197</v>
      </c>
      <c r="H79" s="18" t="s">
        <v>196</v>
      </c>
      <c r="I79" t="s">
        <v>54</v>
      </c>
      <c r="J79">
        <v>9.73</v>
      </c>
      <c r="K79">
        <v>34.1</v>
      </c>
      <c r="L79" t="s">
        <v>55</v>
      </c>
    </row>
    <row r="80" spans="1:49" ht="14.1" customHeight="1" x14ac:dyDescent="0.2">
      <c r="A80" s="20" t="s">
        <v>105</v>
      </c>
      <c r="B80" s="20">
        <v>1463664.8937470401</v>
      </c>
      <c r="C80" s="20">
        <v>-333193.57717041299</v>
      </c>
      <c r="D80" s="20" t="s">
        <v>63</v>
      </c>
      <c r="E80" s="20">
        <v>2431945.9785411698</v>
      </c>
      <c r="F80" s="20" t="s">
        <v>51</v>
      </c>
      <c r="G80" s="20" t="s">
        <v>88</v>
      </c>
      <c r="H80" s="20" t="s">
        <v>70</v>
      </c>
      <c r="I80" s="20" t="s">
        <v>54</v>
      </c>
      <c r="J80" s="20">
        <v>9.73</v>
      </c>
      <c r="K80" s="20">
        <v>34.1</v>
      </c>
      <c r="L80" s="20" t="s">
        <v>55</v>
      </c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</row>
    <row r="81" spans="1:49" ht="14.1" customHeight="1" x14ac:dyDescent="0.2">
      <c r="A81" t="s">
        <v>106</v>
      </c>
      <c r="B81">
        <v>1467854.79790562</v>
      </c>
      <c r="C81">
        <v>-335042.413950874</v>
      </c>
      <c r="D81" t="s">
        <v>82</v>
      </c>
      <c r="E81">
        <v>2375053.6585566499</v>
      </c>
      <c r="F81" t="s">
        <v>51</v>
      </c>
      <c r="G81" s="18" t="s">
        <v>197</v>
      </c>
      <c r="H81" s="18" t="s">
        <v>196</v>
      </c>
      <c r="I81" t="s">
        <v>54</v>
      </c>
      <c r="J81">
        <v>9.5</v>
      </c>
      <c r="K81">
        <v>47.15</v>
      </c>
      <c r="L81" t="s">
        <v>55</v>
      </c>
    </row>
    <row r="82" spans="1:49" ht="14.1" customHeight="1" x14ac:dyDescent="0.2">
      <c r="A82" s="20" t="s">
        <v>106</v>
      </c>
      <c r="B82" s="20">
        <v>1467854.79790562</v>
      </c>
      <c r="C82" s="20">
        <v>-335042.413950874</v>
      </c>
      <c r="D82" s="20" t="s">
        <v>82</v>
      </c>
      <c r="E82" s="20">
        <v>2375053.6585566499</v>
      </c>
      <c r="F82" s="20" t="s">
        <v>51</v>
      </c>
      <c r="G82" s="20" t="s">
        <v>88</v>
      </c>
      <c r="H82" s="20" t="s">
        <v>70</v>
      </c>
      <c r="I82" s="20" t="s">
        <v>54</v>
      </c>
      <c r="J82" s="20">
        <v>9.5</v>
      </c>
      <c r="K82" s="20">
        <v>47.15</v>
      </c>
      <c r="L82" s="20" t="s">
        <v>55</v>
      </c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</row>
    <row r="83" spans="1:49" ht="14.1" customHeight="1" x14ac:dyDescent="0.2">
      <c r="A83" t="s">
        <v>107</v>
      </c>
      <c r="B83">
        <v>1471524.54522541</v>
      </c>
      <c r="C83">
        <v>-339700.88509588502</v>
      </c>
      <c r="D83" t="s">
        <v>50</v>
      </c>
      <c r="E83">
        <v>1539862.4160863401</v>
      </c>
      <c r="F83" t="s">
        <v>51</v>
      </c>
      <c r="G83" s="18" t="s">
        <v>197</v>
      </c>
      <c r="H83" s="18" t="s">
        <v>196</v>
      </c>
      <c r="I83" t="s">
        <v>54</v>
      </c>
      <c r="J83">
        <v>6.16</v>
      </c>
      <c r="K83">
        <v>74.88</v>
      </c>
      <c r="L83" t="s">
        <v>55</v>
      </c>
    </row>
    <row r="84" spans="1:49" x14ac:dyDescent="0.2">
      <c r="A84" s="20" t="s">
        <v>107</v>
      </c>
      <c r="B84" s="20">
        <v>1471524.54522541</v>
      </c>
      <c r="C84" s="20">
        <v>-339700.88509588502</v>
      </c>
      <c r="D84" s="20" t="s">
        <v>50</v>
      </c>
      <c r="E84" s="20">
        <v>1539862.4160863401</v>
      </c>
      <c r="F84" s="20" t="s">
        <v>51</v>
      </c>
      <c r="G84" s="20" t="s">
        <v>88</v>
      </c>
      <c r="H84" s="20" t="s">
        <v>70</v>
      </c>
      <c r="I84" s="20" t="s">
        <v>54</v>
      </c>
      <c r="J84" s="20">
        <v>6.16</v>
      </c>
      <c r="K84" s="20">
        <v>74.88</v>
      </c>
      <c r="L84" s="20" t="s">
        <v>55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</row>
    <row r="85" spans="1:49" x14ac:dyDescent="0.2">
      <c r="A85" t="s">
        <v>108</v>
      </c>
      <c r="B85">
        <v>1477487.22809228</v>
      </c>
      <c r="C85">
        <v>-339016.18368315202</v>
      </c>
      <c r="D85" t="s">
        <v>59</v>
      </c>
      <c r="E85">
        <v>1714544.6322379201</v>
      </c>
      <c r="F85" t="s">
        <v>51</v>
      </c>
      <c r="G85" s="18" t="s">
        <v>197</v>
      </c>
      <c r="H85" s="18" t="s">
        <v>196</v>
      </c>
      <c r="I85" t="s">
        <v>54</v>
      </c>
      <c r="J85">
        <v>6.86</v>
      </c>
      <c r="K85">
        <v>68.05</v>
      </c>
      <c r="L85" t="s">
        <v>55</v>
      </c>
    </row>
    <row r="86" spans="1:49" x14ac:dyDescent="0.2">
      <c r="A86" s="20" t="s">
        <v>108</v>
      </c>
      <c r="B86" s="20">
        <v>1477487.22809228</v>
      </c>
      <c r="C86" s="20">
        <v>-339016.18368315202</v>
      </c>
      <c r="D86" s="20" t="s">
        <v>59</v>
      </c>
      <c r="E86" s="20">
        <v>1714544.6322379201</v>
      </c>
      <c r="F86" s="20" t="s">
        <v>51</v>
      </c>
      <c r="G86" s="20" t="s">
        <v>88</v>
      </c>
      <c r="H86" s="20" t="s">
        <v>70</v>
      </c>
      <c r="I86" s="20" t="s">
        <v>54</v>
      </c>
      <c r="J86" s="20">
        <v>6.86</v>
      </c>
      <c r="K86" s="20">
        <v>68.05</v>
      </c>
      <c r="L86" s="20" t="s">
        <v>55</v>
      </c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</row>
    <row r="87" spans="1:49" x14ac:dyDescent="0.2">
      <c r="A87" t="s">
        <v>109</v>
      </c>
      <c r="B87">
        <v>1466057.13582497</v>
      </c>
      <c r="C87">
        <v>-333244.42384980997</v>
      </c>
      <c r="D87" t="s">
        <v>82</v>
      </c>
      <c r="E87">
        <v>2375053.6585566499</v>
      </c>
      <c r="F87" t="s">
        <v>51</v>
      </c>
      <c r="G87" s="18" t="s">
        <v>197</v>
      </c>
      <c r="H87" s="18" t="s">
        <v>196</v>
      </c>
      <c r="I87" t="s">
        <v>54</v>
      </c>
      <c r="J87">
        <v>9.5</v>
      </c>
      <c r="K87">
        <v>47.15</v>
      </c>
      <c r="L87" t="s">
        <v>55</v>
      </c>
    </row>
    <row r="88" spans="1:49" x14ac:dyDescent="0.2">
      <c r="A88" s="20" t="s">
        <v>109</v>
      </c>
      <c r="B88" s="20">
        <v>1466057.13582497</v>
      </c>
      <c r="C88" s="20">
        <v>-333244.42384980997</v>
      </c>
      <c r="D88" s="20" t="s">
        <v>82</v>
      </c>
      <c r="E88" s="20">
        <v>2375053.6585566499</v>
      </c>
      <c r="F88" s="20" t="s">
        <v>51</v>
      </c>
      <c r="G88" s="20" t="s">
        <v>88</v>
      </c>
      <c r="H88" s="20" t="s">
        <v>70</v>
      </c>
      <c r="I88" s="20" t="s">
        <v>54</v>
      </c>
      <c r="J88" s="20">
        <v>9.5</v>
      </c>
      <c r="K88" s="20">
        <v>47.15</v>
      </c>
      <c r="L88" s="20" t="s">
        <v>55</v>
      </c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</row>
    <row r="89" spans="1:49" x14ac:dyDescent="0.2">
      <c r="A89" t="s">
        <v>110</v>
      </c>
      <c r="B89">
        <v>1469065.2243494701</v>
      </c>
      <c r="C89">
        <v>-333787.93404601701</v>
      </c>
      <c r="D89" t="s">
        <v>82</v>
      </c>
      <c r="E89">
        <v>2375053.6585566499</v>
      </c>
      <c r="F89" t="s">
        <v>51</v>
      </c>
      <c r="G89" s="18" t="s">
        <v>197</v>
      </c>
      <c r="H89" s="18" t="s">
        <v>196</v>
      </c>
      <c r="I89" t="s">
        <v>54</v>
      </c>
      <c r="J89">
        <v>9.5</v>
      </c>
      <c r="K89">
        <v>47.15</v>
      </c>
      <c r="L89" t="s">
        <v>55</v>
      </c>
    </row>
    <row r="90" spans="1:49" x14ac:dyDescent="0.2">
      <c r="A90" s="20" t="s">
        <v>110</v>
      </c>
      <c r="B90" s="20">
        <v>1469065.2243494701</v>
      </c>
      <c r="C90" s="20">
        <v>-333787.93404601701</v>
      </c>
      <c r="D90" s="20" t="s">
        <v>82</v>
      </c>
      <c r="E90" s="20">
        <v>2375053.6585566499</v>
      </c>
      <c r="F90" s="20" t="s">
        <v>51</v>
      </c>
      <c r="G90" s="20" t="s">
        <v>88</v>
      </c>
      <c r="H90" s="20" t="s">
        <v>70</v>
      </c>
      <c r="I90" s="20" t="s">
        <v>54</v>
      </c>
      <c r="J90" s="20">
        <v>9.5</v>
      </c>
      <c r="K90" s="20">
        <v>47.15</v>
      </c>
      <c r="L90" s="20" t="s">
        <v>55</v>
      </c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</row>
    <row r="91" spans="1:49" x14ac:dyDescent="0.2">
      <c r="A91" t="s">
        <v>111</v>
      </c>
      <c r="B91">
        <v>1479079.03355369</v>
      </c>
      <c r="C91">
        <v>-339736.42960239702</v>
      </c>
      <c r="D91" t="s">
        <v>59</v>
      </c>
      <c r="E91">
        <v>1714544.6322379201</v>
      </c>
      <c r="F91" t="s">
        <v>51</v>
      </c>
      <c r="G91" s="18" t="s">
        <v>197</v>
      </c>
      <c r="H91" s="18" t="s">
        <v>196</v>
      </c>
      <c r="I91" t="s">
        <v>54</v>
      </c>
      <c r="J91">
        <v>6.86</v>
      </c>
      <c r="K91">
        <v>68.05</v>
      </c>
      <c r="L91" t="s">
        <v>55</v>
      </c>
    </row>
    <row r="92" spans="1:49" s="20" customFormat="1" ht="14.1" customHeight="1" x14ac:dyDescent="0.2">
      <c r="A92" s="20" t="s">
        <v>111</v>
      </c>
      <c r="B92" s="20">
        <v>1479079.03355369</v>
      </c>
      <c r="C92" s="20">
        <v>-339736.42960239702</v>
      </c>
      <c r="D92" s="20" t="s">
        <v>59</v>
      </c>
      <c r="E92" s="20">
        <v>1714544.6322379201</v>
      </c>
      <c r="F92" s="20" t="s">
        <v>51</v>
      </c>
      <c r="G92" s="20" t="s">
        <v>88</v>
      </c>
      <c r="H92" s="20" t="s">
        <v>70</v>
      </c>
      <c r="I92" s="20" t="s">
        <v>54</v>
      </c>
      <c r="J92" s="20">
        <v>6.86</v>
      </c>
      <c r="K92" s="20">
        <v>68.05</v>
      </c>
      <c r="L92" s="20" t="s">
        <v>55</v>
      </c>
    </row>
    <row r="93" spans="1:49" s="20" customFormat="1" ht="14.1" customHeight="1" x14ac:dyDescent="0.2">
      <c r="A93" s="1" t="s">
        <v>112</v>
      </c>
      <c r="B93" s="1">
        <v>1462146.11370152</v>
      </c>
      <c r="C93" s="1">
        <v>-330706.01100161002</v>
      </c>
      <c r="D93" s="1" t="s">
        <v>113</v>
      </c>
      <c r="E93" s="1">
        <v>646115.10381286498</v>
      </c>
      <c r="F93" s="1" t="s">
        <v>113</v>
      </c>
      <c r="G93" s="1" t="s">
        <v>52</v>
      </c>
      <c r="H93" s="18" t="s">
        <v>53</v>
      </c>
      <c r="I93" s="1" t="s">
        <v>54</v>
      </c>
      <c r="J93" s="1">
        <v>9.0500000000000007</v>
      </c>
      <c r="K93" s="1">
        <v>33.96</v>
      </c>
      <c r="L93" s="1" t="s">
        <v>55</v>
      </c>
      <c r="M93" s="2">
        <v>43194</v>
      </c>
      <c r="N93" s="3">
        <v>0.41666666666666669</v>
      </c>
      <c r="O93" s="4">
        <v>0.41197916666666662</v>
      </c>
      <c r="P93" s="2">
        <v>43195</v>
      </c>
      <c r="Q93" s="1">
        <v>50</v>
      </c>
      <c r="R93" s="1" t="s">
        <v>56</v>
      </c>
      <c r="S93" s="1">
        <v>1</v>
      </c>
      <c r="T93" s="1">
        <v>0.1</v>
      </c>
      <c r="U93" s="1">
        <v>16.64</v>
      </c>
      <c r="V93" s="1">
        <v>97.3</v>
      </c>
      <c r="W93" s="1">
        <v>9.4600000000000009</v>
      </c>
      <c r="X93" s="1">
        <v>0.112</v>
      </c>
      <c r="Y93" s="1">
        <v>8.15</v>
      </c>
      <c r="Z93" s="1" t="s">
        <v>54</v>
      </c>
      <c r="AA93" s="1">
        <v>30.3</v>
      </c>
      <c r="AB93" s="1">
        <v>11.1</v>
      </c>
      <c r="AC93" s="1" t="s">
        <v>54</v>
      </c>
      <c r="AD93" s="1" t="s">
        <v>54</v>
      </c>
      <c r="AE93" s="1" t="s">
        <v>54</v>
      </c>
      <c r="AF93" s="1" t="s">
        <v>54</v>
      </c>
      <c r="AG93" s="1" t="s">
        <v>54</v>
      </c>
      <c r="AH93" s="1" t="s">
        <v>54</v>
      </c>
      <c r="AI93" s="1" t="s">
        <v>54</v>
      </c>
      <c r="AJ93" s="1" t="s">
        <v>54</v>
      </c>
      <c r="AK93" s="1" t="s">
        <v>54</v>
      </c>
      <c r="AL93" s="1" t="s">
        <v>114</v>
      </c>
      <c r="AM93" s="1" t="s">
        <v>115</v>
      </c>
      <c r="AN93" s="1">
        <v>115</v>
      </c>
      <c r="AO93" s="1">
        <v>25</v>
      </c>
      <c r="AP93" s="1">
        <v>760.9</v>
      </c>
      <c r="AQ93" s="2">
        <v>43195</v>
      </c>
      <c r="AR93" s="3">
        <v>0.41180555555555554</v>
      </c>
      <c r="AS93" s="1">
        <v>2</v>
      </c>
      <c r="AT93" s="1" t="s">
        <v>54</v>
      </c>
      <c r="AU93" s="1" t="s">
        <v>54</v>
      </c>
      <c r="AV93" s="1">
        <v>36.055712</v>
      </c>
      <c r="AW93" s="1">
        <v>78.758627000000004</v>
      </c>
    </row>
    <row r="94" spans="1:49" s="20" customFormat="1" ht="14.1" customHeight="1" x14ac:dyDescent="0.2">
      <c r="A94" s="20" t="s">
        <v>112</v>
      </c>
      <c r="B94" s="20">
        <v>1462146.11370152</v>
      </c>
      <c r="C94" s="20">
        <v>-330706.01100161002</v>
      </c>
      <c r="D94" s="20" t="s">
        <v>113</v>
      </c>
      <c r="E94" s="20">
        <v>646115.10381286498</v>
      </c>
      <c r="F94" s="20" t="s">
        <v>113</v>
      </c>
      <c r="G94" s="20" t="s">
        <v>52</v>
      </c>
      <c r="H94" s="20" t="s">
        <v>70</v>
      </c>
      <c r="I94" s="20" t="s">
        <v>54</v>
      </c>
      <c r="J94" s="20">
        <v>9.0500000000000007</v>
      </c>
      <c r="K94" s="20">
        <v>33.96</v>
      </c>
      <c r="L94" s="20" t="s">
        <v>55</v>
      </c>
      <c r="M94" s="21">
        <v>43194</v>
      </c>
      <c r="N94" s="22">
        <v>0.41666666666666669</v>
      </c>
      <c r="O94" s="23">
        <v>0.41197916666666662</v>
      </c>
      <c r="P94" s="21">
        <v>43195</v>
      </c>
      <c r="Q94" s="20">
        <v>50</v>
      </c>
      <c r="R94" s="20" t="s">
        <v>56</v>
      </c>
      <c r="S94" s="20">
        <v>1</v>
      </c>
      <c r="T94" s="20">
        <v>0.1</v>
      </c>
      <c r="U94" s="20">
        <v>16.64</v>
      </c>
      <c r="V94" s="20">
        <v>97.3</v>
      </c>
      <c r="W94" s="20">
        <v>9.4600000000000009</v>
      </c>
      <c r="X94" s="20">
        <v>0.112</v>
      </c>
      <c r="Y94" s="20">
        <v>8.15</v>
      </c>
      <c r="Z94" s="20" t="s">
        <v>54</v>
      </c>
      <c r="AA94" s="20">
        <v>30.3</v>
      </c>
      <c r="AB94" s="20">
        <v>11.1</v>
      </c>
      <c r="AC94" s="20" t="s">
        <v>54</v>
      </c>
      <c r="AD94" s="20" t="s">
        <v>54</v>
      </c>
      <c r="AE94" s="20" t="s">
        <v>54</v>
      </c>
      <c r="AF94" s="20" t="s">
        <v>54</v>
      </c>
      <c r="AG94" s="20" t="s">
        <v>54</v>
      </c>
      <c r="AH94" s="20" t="s">
        <v>54</v>
      </c>
      <c r="AI94" s="20" t="s">
        <v>54</v>
      </c>
      <c r="AJ94" s="20" t="s">
        <v>54</v>
      </c>
      <c r="AK94" s="20" t="s">
        <v>54</v>
      </c>
      <c r="AL94" s="20" t="s">
        <v>114</v>
      </c>
      <c r="AM94" s="20" t="s">
        <v>115</v>
      </c>
      <c r="AN94" s="20">
        <v>115</v>
      </c>
      <c r="AO94" s="20">
        <v>25</v>
      </c>
      <c r="AP94" s="20">
        <v>760.9</v>
      </c>
      <c r="AQ94" s="21">
        <v>43195</v>
      </c>
      <c r="AR94" s="22">
        <v>0.41180555555555554</v>
      </c>
      <c r="AS94" s="20">
        <v>2</v>
      </c>
      <c r="AT94" s="20" t="s">
        <v>54</v>
      </c>
      <c r="AU94" s="20" t="s">
        <v>54</v>
      </c>
      <c r="AV94" s="20">
        <v>36.055712</v>
      </c>
      <c r="AW94" s="20">
        <v>78.758627000000004</v>
      </c>
    </row>
    <row r="95" spans="1:49" s="20" customFormat="1" ht="14.1" customHeight="1" x14ac:dyDescent="0.2">
      <c r="A95" s="1" t="s">
        <v>116</v>
      </c>
      <c r="B95" s="1">
        <v>1458883.2490767699</v>
      </c>
      <c r="C95" s="1">
        <v>-330137.92613326397</v>
      </c>
      <c r="D95" s="1" t="s">
        <v>113</v>
      </c>
      <c r="E95" s="1">
        <v>646115.10381286498</v>
      </c>
      <c r="F95" s="1" t="s">
        <v>113</v>
      </c>
      <c r="G95" s="1" t="s">
        <v>52</v>
      </c>
      <c r="H95" s="1" t="s">
        <v>53</v>
      </c>
      <c r="I95" s="1" t="s">
        <v>54</v>
      </c>
      <c r="J95" s="1">
        <v>9.0500000000000007</v>
      </c>
      <c r="K95" s="1">
        <v>33.96</v>
      </c>
      <c r="L95" s="1" t="s">
        <v>55</v>
      </c>
      <c r="M95" s="2">
        <v>43194</v>
      </c>
      <c r="N95" s="3">
        <v>0.35972222222222222</v>
      </c>
      <c r="O95" s="3">
        <v>0.35059027777777779</v>
      </c>
      <c r="P95" s="2">
        <v>43195</v>
      </c>
      <c r="Q95" s="1">
        <v>50</v>
      </c>
      <c r="R95" s="1" t="s">
        <v>56</v>
      </c>
      <c r="S95" s="1">
        <v>1.3</v>
      </c>
      <c r="T95" s="1">
        <v>0.1</v>
      </c>
      <c r="U95" s="1">
        <v>16.61</v>
      </c>
      <c r="V95" s="1">
        <v>97.3</v>
      </c>
      <c r="W95" s="1">
        <v>9.5</v>
      </c>
      <c r="X95" s="1">
        <v>0.16</v>
      </c>
      <c r="Y95" s="1">
        <v>8.7899999999999991</v>
      </c>
      <c r="Z95" s="1" t="s">
        <v>54</v>
      </c>
      <c r="AA95" s="1">
        <v>35</v>
      </c>
      <c r="AB95" s="1">
        <v>12.6</v>
      </c>
      <c r="AC95" s="1" t="s">
        <v>54</v>
      </c>
      <c r="AD95" s="1" t="s">
        <v>54</v>
      </c>
      <c r="AE95" s="1" t="s">
        <v>54</v>
      </c>
      <c r="AF95" s="1" t="s">
        <v>54</v>
      </c>
      <c r="AG95" s="1" t="s">
        <v>54</v>
      </c>
      <c r="AH95" s="1" t="s">
        <v>54</v>
      </c>
      <c r="AI95" s="1" t="s">
        <v>54</v>
      </c>
      <c r="AJ95" s="1" t="s">
        <v>54</v>
      </c>
      <c r="AK95" s="1" t="s">
        <v>54</v>
      </c>
      <c r="AL95" s="1" t="s">
        <v>54</v>
      </c>
      <c r="AM95" s="1" t="s">
        <v>117</v>
      </c>
      <c r="AN95" s="1">
        <v>115</v>
      </c>
      <c r="AO95" s="1">
        <v>25</v>
      </c>
      <c r="AP95" s="1" t="s">
        <v>54</v>
      </c>
      <c r="AQ95" s="2">
        <v>43195</v>
      </c>
      <c r="AR95" s="3">
        <v>0.35069444444444442</v>
      </c>
      <c r="AS95" s="1">
        <v>1</v>
      </c>
      <c r="AT95" s="1" t="s">
        <v>54</v>
      </c>
      <c r="AU95" s="1" t="s">
        <v>54</v>
      </c>
      <c r="AV95" s="1">
        <v>36.065337</v>
      </c>
      <c r="AW95" s="1">
        <v>78.795152000000002</v>
      </c>
    </row>
    <row r="96" spans="1:49" s="20" customFormat="1" ht="14.1" customHeight="1" x14ac:dyDescent="0.2">
      <c r="A96" s="20" t="s">
        <v>116</v>
      </c>
      <c r="B96" s="20">
        <v>1458883.2490767699</v>
      </c>
      <c r="C96" s="20">
        <v>-330137.92613326397</v>
      </c>
      <c r="D96" s="20" t="s">
        <v>113</v>
      </c>
      <c r="E96" s="20">
        <v>646115.10381286498</v>
      </c>
      <c r="F96" s="20" t="s">
        <v>113</v>
      </c>
      <c r="G96" s="20" t="s">
        <v>52</v>
      </c>
      <c r="H96" s="20" t="s">
        <v>53</v>
      </c>
      <c r="I96" s="20" t="s">
        <v>54</v>
      </c>
      <c r="J96" s="20">
        <v>9.0500000000000007</v>
      </c>
      <c r="K96" s="20">
        <v>33.96</v>
      </c>
      <c r="L96" s="20" t="s">
        <v>55</v>
      </c>
      <c r="M96" s="21">
        <v>43194</v>
      </c>
      <c r="N96" s="22">
        <v>0.35972222222222222</v>
      </c>
      <c r="O96" s="22">
        <v>0.35059027777777779</v>
      </c>
      <c r="P96" s="21">
        <v>43195</v>
      </c>
      <c r="Q96" s="20">
        <v>50</v>
      </c>
      <c r="R96" s="20" t="s">
        <v>56</v>
      </c>
      <c r="S96" s="20">
        <v>1.3</v>
      </c>
      <c r="T96" s="20">
        <v>0.1</v>
      </c>
      <c r="U96" s="20">
        <v>16.61</v>
      </c>
      <c r="V96" s="20">
        <v>97.3</v>
      </c>
      <c r="W96" s="20">
        <v>9.5</v>
      </c>
      <c r="X96" s="20">
        <v>0.16</v>
      </c>
      <c r="Y96" s="20">
        <v>8.7899999999999991</v>
      </c>
      <c r="Z96" s="20" t="s">
        <v>54</v>
      </c>
      <c r="AA96" s="20">
        <v>35</v>
      </c>
      <c r="AB96" s="20">
        <v>12.6</v>
      </c>
      <c r="AC96" s="20" t="s">
        <v>54</v>
      </c>
      <c r="AD96" s="20" t="s">
        <v>54</v>
      </c>
      <c r="AE96" s="20" t="s">
        <v>54</v>
      </c>
      <c r="AF96" s="20" t="s">
        <v>54</v>
      </c>
      <c r="AG96" s="20" t="s">
        <v>54</v>
      </c>
      <c r="AH96" s="20" t="s">
        <v>54</v>
      </c>
      <c r="AI96" s="20" t="s">
        <v>54</v>
      </c>
      <c r="AJ96" s="20" t="s">
        <v>54</v>
      </c>
      <c r="AK96" s="20" t="s">
        <v>54</v>
      </c>
      <c r="AL96" s="20" t="s">
        <v>54</v>
      </c>
      <c r="AM96" s="20" t="s">
        <v>117</v>
      </c>
      <c r="AN96" s="20">
        <v>115</v>
      </c>
      <c r="AO96" s="20">
        <v>25</v>
      </c>
      <c r="AP96" s="20" t="s">
        <v>54</v>
      </c>
      <c r="AQ96" s="21">
        <v>43195</v>
      </c>
      <c r="AR96" s="22">
        <v>0.35069444444444442</v>
      </c>
      <c r="AS96" s="20">
        <v>1</v>
      </c>
      <c r="AT96" s="20" t="s">
        <v>54</v>
      </c>
      <c r="AU96" s="20" t="s">
        <v>54</v>
      </c>
      <c r="AV96" s="20">
        <v>36.065337</v>
      </c>
      <c r="AW96" s="20">
        <v>78.795152000000002</v>
      </c>
    </row>
    <row r="97" spans="1:49" s="20" customFormat="1" ht="14.1" customHeight="1" x14ac:dyDescent="0.2">
      <c r="A97" s="1" t="s">
        <v>118</v>
      </c>
      <c r="B97" s="1">
        <v>1460807.26953561</v>
      </c>
      <c r="C97" s="1">
        <v>-330217.48017225403</v>
      </c>
      <c r="D97" s="1" t="s">
        <v>113</v>
      </c>
      <c r="E97" s="1">
        <v>646115.10381286498</v>
      </c>
      <c r="F97" s="1" t="s">
        <v>113</v>
      </c>
      <c r="G97" s="1" t="s">
        <v>52</v>
      </c>
      <c r="H97" s="1" t="s">
        <v>53</v>
      </c>
      <c r="I97" s="1" t="s">
        <v>54</v>
      </c>
      <c r="J97" s="1">
        <v>9.0500000000000007</v>
      </c>
      <c r="K97" s="1">
        <v>33.96</v>
      </c>
      <c r="L97" s="1" t="s">
        <v>55</v>
      </c>
      <c r="M97" s="2">
        <v>43194</v>
      </c>
      <c r="N97" s="3">
        <v>0.39999999999999997</v>
      </c>
      <c r="O97" s="3">
        <v>0.39460648148148153</v>
      </c>
      <c r="P97" s="2">
        <v>43195</v>
      </c>
      <c r="Q97" s="1">
        <v>50</v>
      </c>
      <c r="R97" s="1" t="s">
        <v>56</v>
      </c>
      <c r="S97" s="18">
        <v>1.9</v>
      </c>
      <c r="T97" s="18">
        <v>0.1</v>
      </c>
      <c r="U97" s="1">
        <v>16.559999999999999</v>
      </c>
      <c r="V97" s="1">
        <v>98</v>
      </c>
      <c r="W97" s="1">
        <v>9.57</v>
      </c>
      <c r="X97" s="1">
        <v>0.115</v>
      </c>
      <c r="Y97" s="1">
        <v>8.19</v>
      </c>
      <c r="Z97" s="1" t="s">
        <v>54</v>
      </c>
      <c r="AA97" s="1">
        <v>38.1</v>
      </c>
      <c r="AB97" s="1">
        <v>10</v>
      </c>
      <c r="AC97" s="1" t="s">
        <v>54</v>
      </c>
      <c r="AD97" s="1" t="s">
        <v>54</v>
      </c>
      <c r="AE97" s="1" t="s">
        <v>54</v>
      </c>
      <c r="AF97" s="1" t="s">
        <v>54</v>
      </c>
      <c r="AG97" s="1" t="s">
        <v>54</v>
      </c>
      <c r="AH97" s="1" t="s">
        <v>54</v>
      </c>
      <c r="AI97" s="1" t="s">
        <v>54</v>
      </c>
      <c r="AJ97" s="1" t="s">
        <v>54</v>
      </c>
      <c r="AK97" s="1" t="s">
        <v>54</v>
      </c>
      <c r="AL97" s="1" t="s">
        <v>54</v>
      </c>
      <c r="AM97" s="1" t="s">
        <v>119</v>
      </c>
      <c r="AN97" s="1">
        <v>115</v>
      </c>
      <c r="AO97" s="1">
        <v>25</v>
      </c>
      <c r="AP97" s="1" t="s">
        <v>54</v>
      </c>
      <c r="AQ97" s="2">
        <v>43195</v>
      </c>
      <c r="AR97" s="3">
        <v>0.39444444444444443</v>
      </c>
      <c r="AS97" s="1">
        <v>2</v>
      </c>
      <c r="AT97" s="1" t="s">
        <v>54</v>
      </c>
      <c r="AU97" s="1" t="s">
        <v>54</v>
      </c>
      <c r="AV97" s="1">
        <v>36.061512</v>
      </c>
      <c r="AW97" s="1">
        <v>78.773296999999999</v>
      </c>
    </row>
    <row r="98" spans="1:49" s="20" customFormat="1" ht="14.1" customHeight="1" x14ac:dyDescent="0.2">
      <c r="A98" s="20" t="s">
        <v>118</v>
      </c>
      <c r="B98" s="20">
        <v>1460807.26953561</v>
      </c>
      <c r="C98" s="20">
        <v>-330217.48017225403</v>
      </c>
      <c r="D98" s="20" t="s">
        <v>113</v>
      </c>
      <c r="E98" s="20">
        <v>646115.10381286498</v>
      </c>
      <c r="F98" s="20" t="s">
        <v>113</v>
      </c>
      <c r="G98" s="20" t="s">
        <v>52</v>
      </c>
      <c r="H98" s="20" t="s">
        <v>53</v>
      </c>
      <c r="I98" s="20" t="s">
        <v>54</v>
      </c>
      <c r="J98" s="20">
        <v>9.0500000000000007</v>
      </c>
      <c r="K98" s="20">
        <v>33.96</v>
      </c>
      <c r="L98" s="20" t="s">
        <v>55</v>
      </c>
      <c r="M98" s="21">
        <v>43194</v>
      </c>
      <c r="N98" s="22">
        <v>0.39999999999999997</v>
      </c>
      <c r="O98" s="22">
        <v>0.39460648148148153</v>
      </c>
      <c r="P98" s="21">
        <v>43195</v>
      </c>
      <c r="Q98" s="20">
        <v>50</v>
      </c>
      <c r="R98" s="20" t="s">
        <v>56</v>
      </c>
      <c r="S98" s="20">
        <v>0.1</v>
      </c>
      <c r="T98" s="20">
        <v>1.9</v>
      </c>
      <c r="U98" s="20">
        <v>16.559999999999999</v>
      </c>
      <c r="V98" s="20">
        <v>98</v>
      </c>
      <c r="W98" s="20">
        <v>9.57</v>
      </c>
      <c r="X98" s="20">
        <v>0.115</v>
      </c>
      <c r="Y98" s="20">
        <v>8.19</v>
      </c>
      <c r="Z98" s="20" t="s">
        <v>54</v>
      </c>
      <c r="AA98" s="20">
        <v>38.1</v>
      </c>
      <c r="AB98" s="20">
        <v>10</v>
      </c>
      <c r="AC98" s="20" t="s">
        <v>54</v>
      </c>
      <c r="AD98" s="20" t="s">
        <v>54</v>
      </c>
      <c r="AE98" s="20" t="s">
        <v>54</v>
      </c>
      <c r="AF98" s="20" t="s">
        <v>54</v>
      </c>
      <c r="AG98" s="20" t="s">
        <v>54</v>
      </c>
      <c r="AH98" s="20" t="s">
        <v>54</v>
      </c>
      <c r="AI98" s="20" t="s">
        <v>54</v>
      </c>
      <c r="AJ98" s="20" t="s">
        <v>54</v>
      </c>
      <c r="AK98" s="20" t="s">
        <v>54</v>
      </c>
      <c r="AL98" s="20" t="s">
        <v>54</v>
      </c>
      <c r="AM98" s="20" t="s">
        <v>119</v>
      </c>
      <c r="AN98" s="20">
        <v>115</v>
      </c>
      <c r="AO98" s="20">
        <v>25</v>
      </c>
      <c r="AP98" s="20" t="s">
        <v>54</v>
      </c>
      <c r="AQ98" s="21">
        <v>43195</v>
      </c>
      <c r="AR98" s="22">
        <v>0.39444444444444443</v>
      </c>
      <c r="AS98" s="20">
        <v>2</v>
      </c>
      <c r="AT98" s="20" t="s">
        <v>54</v>
      </c>
      <c r="AU98" s="20" t="s">
        <v>54</v>
      </c>
      <c r="AV98" s="20">
        <v>36.061512</v>
      </c>
      <c r="AW98" s="20">
        <v>78.773296999999999</v>
      </c>
    </row>
    <row r="99" spans="1:49" s="20" customFormat="1" ht="14.1" customHeight="1" x14ac:dyDescent="0.2">
      <c r="A99" s="1" t="s">
        <v>120</v>
      </c>
      <c r="B99" s="1">
        <v>1460043.0494104601</v>
      </c>
      <c r="C99" s="1">
        <v>-329004.359972545</v>
      </c>
      <c r="D99" s="1" t="s">
        <v>113</v>
      </c>
      <c r="E99" s="1">
        <v>646115.10381286498</v>
      </c>
      <c r="F99" s="1" t="s">
        <v>113</v>
      </c>
      <c r="G99" s="1" t="s">
        <v>52</v>
      </c>
      <c r="H99" s="1" t="s">
        <v>53</v>
      </c>
      <c r="I99" s="1" t="s">
        <v>54</v>
      </c>
      <c r="J99" s="1">
        <v>9.0500000000000007</v>
      </c>
      <c r="K99" s="1">
        <v>33.96</v>
      </c>
      <c r="L99" s="1" t="s">
        <v>55</v>
      </c>
      <c r="M99" s="2">
        <v>43194</v>
      </c>
      <c r="N99" s="3">
        <v>0.375</v>
      </c>
      <c r="O99" s="3">
        <v>0.36724537037037036</v>
      </c>
      <c r="P99" s="2">
        <v>43195</v>
      </c>
      <c r="Q99" s="1">
        <v>50</v>
      </c>
      <c r="R99" s="1" t="s">
        <v>56</v>
      </c>
      <c r="S99" s="1">
        <v>1.3</v>
      </c>
      <c r="T99" s="1">
        <v>0.1</v>
      </c>
      <c r="U99" s="1">
        <v>16.66</v>
      </c>
      <c r="V99" s="1">
        <v>96.4</v>
      </c>
      <c r="W99" s="1">
        <v>9.3699999999999992</v>
      </c>
      <c r="X99" s="1">
        <v>0.11700000000000001</v>
      </c>
      <c r="Y99" s="1">
        <v>8.7100000000000009</v>
      </c>
      <c r="Z99" s="1" t="s">
        <v>54</v>
      </c>
      <c r="AA99" s="1">
        <v>44.8</v>
      </c>
      <c r="AB99" s="1">
        <v>12</v>
      </c>
      <c r="AC99" s="1" t="s">
        <v>54</v>
      </c>
      <c r="AD99" s="1" t="s">
        <v>54</v>
      </c>
      <c r="AE99" s="1" t="s">
        <v>54</v>
      </c>
      <c r="AF99" s="1" t="s">
        <v>54</v>
      </c>
      <c r="AG99" s="1" t="s">
        <v>54</v>
      </c>
      <c r="AH99" s="1" t="s">
        <v>54</v>
      </c>
      <c r="AI99" s="1" t="s">
        <v>54</v>
      </c>
      <c r="AJ99" s="1" t="s">
        <v>54</v>
      </c>
      <c r="AK99" s="1" t="s">
        <v>54</v>
      </c>
      <c r="AL99" s="1" t="s">
        <v>54</v>
      </c>
      <c r="AM99" s="1" t="s">
        <v>121</v>
      </c>
      <c r="AN99" s="1">
        <v>115</v>
      </c>
      <c r="AO99" s="1">
        <v>25</v>
      </c>
      <c r="AP99" s="1" t="s">
        <v>54</v>
      </c>
      <c r="AQ99" s="2">
        <v>43195</v>
      </c>
      <c r="AR99" s="3" t="s">
        <v>54</v>
      </c>
      <c r="AS99" s="1" t="s">
        <v>54</v>
      </c>
      <c r="AT99" s="1" t="s">
        <v>122</v>
      </c>
      <c r="AU99" s="18" t="s">
        <v>122</v>
      </c>
      <c r="AV99" s="1">
        <v>36.072960000000002</v>
      </c>
      <c r="AW99" s="1">
        <v>78.779268999999999</v>
      </c>
    </row>
    <row r="100" spans="1:49" s="20" customFormat="1" ht="14.1" customHeight="1" x14ac:dyDescent="0.2">
      <c r="A100" s="20" t="s">
        <v>120</v>
      </c>
      <c r="B100" s="20">
        <v>1460043.0494104601</v>
      </c>
      <c r="C100" s="20">
        <v>-329004.359972545</v>
      </c>
      <c r="D100" s="20" t="s">
        <v>113</v>
      </c>
      <c r="E100" s="20">
        <v>646115.10381286498</v>
      </c>
      <c r="F100" s="20" t="s">
        <v>113</v>
      </c>
      <c r="G100" s="20" t="s">
        <v>52</v>
      </c>
      <c r="H100" s="20" t="s">
        <v>53</v>
      </c>
      <c r="I100" s="20" t="s">
        <v>54</v>
      </c>
      <c r="J100" s="20">
        <v>9.0500000000000007</v>
      </c>
      <c r="K100" s="20">
        <v>33.96</v>
      </c>
      <c r="L100" s="20" t="s">
        <v>55</v>
      </c>
      <c r="M100" s="21">
        <v>43194</v>
      </c>
      <c r="N100" s="22">
        <v>0.375</v>
      </c>
      <c r="O100" s="22">
        <v>0.36724537037037036</v>
      </c>
      <c r="P100" s="21">
        <v>43195</v>
      </c>
      <c r="Q100" s="20">
        <v>50</v>
      </c>
      <c r="R100" s="20" t="s">
        <v>56</v>
      </c>
      <c r="S100" s="20">
        <v>1.3</v>
      </c>
      <c r="T100" s="20">
        <v>0.1</v>
      </c>
      <c r="U100" s="20">
        <v>16.66</v>
      </c>
      <c r="V100" s="20">
        <v>96.4</v>
      </c>
      <c r="W100" s="20">
        <v>9.3699999999999992</v>
      </c>
      <c r="X100" s="20">
        <v>0.11700000000000001</v>
      </c>
      <c r="Y100" s="20">
        <v>8.7100000000000009</v>
      </c>
      <c r="Z100" s="20" t="s">
        <v>54</v>
      </c>
      <c r="AA100" s="20">
        <v>44.8</v>
      </c>
      <c r="AB100" s="20">
        <v>12</v>
      </c>
      <c r="AC100" s="20" t="s">
        <v>54</v>
      </c>
      <c r="AD100" s="20" t="s">
        <v>54</v>
      </c>
      <c r="AE100" s="20" t="s">
        <v>54</v>
      </c>
      <c r="AF100" s="20" t="s">
        <v>54</v>
      </c>
      <c r="AG100" s="20" t="s">
        <v>54</v>
      </c>
      <c r="AH100" s="20" t="s">
        <v>54</v>
      </c>
      <c r="AI100" s="20" t="s">
        <v>54</v>
      </c>
      <c r="AJ100" s="20" t="s">
        <v>54</v>
      </c>
      <c r="AK100" s="20" t="s">
        <v>54</v>
      </c>
      <c r="AL100" s="20" t="s">
        <v>54</v>
      </c>
      <c r="AM100" s="20" t="s">
        <v>121</v>
      </c>
      <c r="AN100" s="20">
        <v>115</v>
      </c>
      <c r="AO100" s="20">
        <v>25</v>
      </c>
      <c r="AP100" s="20" t="s">
        <v>54</v>
      </c>
      <c r="AQ100" s="21">
        <v>43195</v>
      </c>
      <c r="AR100" s="22" t="s">
        <v>54</v>
      </c>
      <c r="AS100" s="20" t="s">
        <v>54</v>
      </c>
      <c r="AT100" s="20" t="s">
        <v>122</v>
      </c>
      <c r="AV100" s="20">
        <v>36.072960000000002</v>
      </c>
      <c r="AW100" s="20">
        <v>78.779268999999999</v>
      </c>
    </row>
    <row r="101" spans="1:49" s="20" customFormat="1" ht="14.1" customHeight="1" x14ac:dyDescent="0.2">
      <c r="A101" s="1" t="s">
        <v>123</v>
      </c>
      <c r="B101" s="1">
        <v>1462432.3630963599</v>
      </c>
      <c r="C101" s="1">
        <v>-331996.43858091702</v>
      </c>
      <c r="D101" s="1" t="s">
        <v>113</v>
      </c>
      <c r="E101" s="1">
        <v>646115.10381286498</v>
      </c>
      <c r="F101" s="1" t="s">
        <v>113</v>
      </c>
      <c r="G101" s="1" t="s">
        <v>52</v>
      </c>
      <c r="H101" s="1" t="s">
        <v>53</v>
      </c>
      <c r="I101" s="1" t="s">
        <v>54</v>
      </c>
      <c r="J101" s="1">
        <v>9.0500000000000007</v>
      </c>
      <c r="K101" s="1">
        <v>33.96</v>
      </c>
      <c r="L101" s="1" t="s">
        <v>55</v>
      </c>
      <c r="M101" s="2">
        <v>43194</v>
      </c>
      <c r="N101" s="3">
        <v>0.43541666666666662</v>
      </c>
      <c r="O101" s="4">
        <v>0.43767361111111108</v>
      </c>
      <c r="P101" s="2">
        <v>43195</v>
      </c>
      <c r="Q101" s="1">
        <v>45</v>
      </c>
      <c r="R101" s="1" t="s">
        <v>56</v>
      </c>
      <c r="S101" s="1">
        <v>2.6</v>
      </c>
      <c r="T101" s="1">
        <v>0.1</v>
      </c>
      <c r="U101" s="18">
        <v>16.649999999999999</v>
      </c>
      <c r="V101" s="1">
        <v>99.2</v>
      </c>
      <c r="W101" s="1">
        <v>9.6199999999999992</v>
      </c>
      <c r="X101" s="1">
        <v>0.113</v>
      </c>
      <c r="Y101" s="1">
        <v>8.08</v>
      </c>
      <c r="Z101" s="1" t="s">
        <v>54</v>
      </c>
      <c r="AA101" s="1">
        <v>18.8</v>
      </c>
      <c r="AB101" s="1">
        <v>8.1</v>
      </c>
      <c r="AC101" s="1" t="s">
        <v>54</v>
      </c>
      <c r="AD101" s="1" t="s">
        <v>54</v>
      </c>
      <c r="AE101" s="1" t="s">
        <v>54</v>
      </c>
      <c r="AF101" s="1" t="s">
        <v>54</v>
      </c>
      <c r="AG101" s="1" t="s">
        <v>54</v>
      </c>
      <c r="AH101" s="1" t="s">
        <v>54</v>
      </c>
      <c r="AI101" s="1" t="s">
        <v>54</v>
      </c>
      <c r="AJ101" s="1" t="s">
        <v>54</v>
      </c>
      <c r="AK101" s="1" t="s">
        <v>54</v>
      </c>
      <c r="AL101" s="1" t="s">
        <v>54</v>
      </c>
      <c r="AM101" s="1" t="s">
        <v>54</v>
      </c>
      <c r="AN101" s="1" t="s">
        <v>54</v>
      </c>
      <c r="AO101" s="1" t="s">
        <v>54</v>
      </c>
      <c r="AP101" s="1" t="s">
        <v>54</v>
      </c>
      <c r="AQ101" s="2">
        <v>43195</v>
      </c>
      <c r="AR101" s="3">
        <v>0.4375</v>
      </c>
      <c r="AS101" s="1">
        <v>6</v>
      </c>
      <c r="AT101" s="1" t="s">
        <v>54</v>
      </c>
      <c r="AU101" s="1" t="s">
        <v>54</v>
      </c>
      <c r="AV101" s="1">
        <v>36.044074999999999</v>
      </c>
      <c r="AW101" s="1">
        <v>78.758206999999999</v>
      </c>
    </row>
    <row r="102" spans="1:49" s="20" customFormat="1" ht="14.1" customHeight="1" x14ac:dyDescent="0.2">
      <c r="A102" s="20" t="s">
        <v>123</v>
      </c>
      <c r="B102" s="20">
        <v>1462432.3630963599</v>
      </c>
      <c r="C102" s="20">
        <v>-331996.43858091702</v>
      </c>
      <c r="D102" s="20" t="s">
        <v>113</v>
      </c>
      <c r="E102" s="20">
        <v>646115.10381286498</v>
      </c>
      <c r="F102" s="20" t="s">
        <v>113</v>
      </c>
      <c r="G102" s="20" t="s">
        <v>52</v>
      </c>
      <c r="H102" s="20" t="s">
        <v>53</v>
      </c>
      <c r="I102" s="20" t="s">
        <v>54</v>
      </c>
      <c r="J102" s="20">
        <v>9.0500000000000007</v>
      </c>
      <c r="K102" s="20">
        <v>33.96</v>
      </c>
      <c r="L102" s="20" t="s">
        <v>55</v>
      </c>
      <c r="M102" s="21">
        <v>43194</v>
      </c>
      <c r="N102" s="22">
        <v>0.43541666666666662</v>
      </c>
      <c r="O102" s="23">
        <v>0.43767361111111108</v>
      </c>
      <c r="P102" s="21">
        <v>43195</v>
      </c>
      <c r="Q102" s="20">
        <v>45</v>
      </c>
      <c r="R102" s="20" t="s">
        <v>56</v>
      </c>
      <c r="S102" s="20">
        <v>2.6</v>
      </c>
      <c r="T102" s="20">
        <v>0.1</v>
      </c>
      <c r="U102" s="20">
        <v>16.600000000000001</v>
      </c>
      <c r="V102" s="20">
        <v>99.2</v>
      </c>
      <c r="W102" s="20">
        <v>9.6199999999999992</v>
      </c>
      <c r="X102" s="20">
        <v>0.113</v>
      </c>
      <c r="Y102" s="20">
        <v>8.08</v>
      </c>
      <c r="Z102" s="20" t="s">
        <v>54</v>
      </c>
      <c r="AA102" s="20">
        <v>18.8</v>
      </c>
      <c r="AB102" s="20">
        <v>8.1</v>
      </c>
      <c r="AC102" s="20" t="s">
        <v>54</v>
      </c>
      <c r="AD102" s="20" t="s">
        <v>54</v>
      </c>
      <c r="AE102" s="20" t="s">
        <v>54</v>
      </c>
      <c r="AF102" s="20" t="s">
        <v>54</v>
      </c>
      <c r="AG102" s="20" t="s">
        <v>54</v>
      </c>
      <c r="AH102" s="20" t="s">
        <v>54</v>
      </c>
      <c r="AI102" s="20" t="s">
        <v>54</v>
      </c>
      <c r="AJ102" s="20" t="s">
        <v>54</v>
      </c>
      <c r="AK102" s="20" t="s">
        <v>54</v>
      </c>
      <c r="AL102" s="20" t="s">
        <v>54</v>
      </c>
      <c r="AM102" s="20" t="s">
        <v>54</v>
      </c>
      <c r="AN102" s="20" t="s">
        <v>54</v>
      </c>
      <c r="AO102" s="20" t="s">
        <v>54</v>
      </c>
      <c r="AP102" s="20" t="s">
        <v>54</v>
      </c>
      <c r="AQ102" s="21">
        <v>43195</v>
      </c>
      <c r="AR102" s="22">
        <v>0.4375</v>
      </c>
      <c r="AS102" s="20">
        <v>6</v>
      </c>
      <c r="AT102" s="20" t="s">
        <v>54</v>
      </c>
      <c r="AU102" s="20" t="s">
        <v>54</v>
      </c>
      <c r="AV102" s="20">
        <v>36.044074999999999</v>
      </c>
      <c r="AW102" s="20">
        <v>78.758206999999999</v>
      </c>
    </row>
    <row r="103" spans="1:49" s="20" customFormat="1" ht="14.1" customHeight="1" x14ac:dyDescent="0.2">
      <c r="A103" t="s">
        <v>124</v>
      </c>
      <c r="B103">
        <v>1460419.5007144799</v>
      </c>
      <c r="C103">
        <v>-329793.659151414</v>
      </c>
      <c r="D103" t="s">
        <v>113</v>
      </c>
      <c r="E103">
        <v>646115.10381286498</v>
      </c>
      <c r="F103" t="s">
        <v>113</v>
      </c>
      <c r="G103" t="s">
        <v>52</v>
      </c>
      <c r="H103" s="18" t="s">
        <v>196</v>
      </c>
      <c r="I103" t="s">
        <v>54</v>
      </c>
      <c r="J103">
        <v>9.0500000000000007</v>
      </c>
      <c r="K103">
        <v>33.96</v>
      </c>
      <c r="L103" t="s">
        <v>55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</row>
    <row r="104" spans="1:49" s="20" customFormat="1" ht="14.1" customHeight="1" x14ac:dyDescent="0.2">
      <c r="A104" s="20" t="s">
        <v>124</v>
      </c>
      <c r="B104" s="20">
        <v>1460419.5007144799</v>
      </c>
      <c r="C104" s="20">
        <v>-329793.659151414</v>
      </c>
      <c r="D104" s="20" t="s">
        <v>113</v>
      </c>
      <c r="E104" s="20">
        <v>646115.10381286498</v>
      </c>
      <c r="F104" s="20" t="s">
        <v>113</v>
      </c>
      <c r="G104" s="20" t="s">
        <v>52</v>
      </c>
      <c r="H104" s="20" t="s">
        <v>70</v>
      </c>
      <c r="I104" s="20" t="s">
        <v>54</v>
      </c>
      <c r="J104" s="20">
        <v>9.0500000000000007</v>
      </c>
      <c r="K104" s="20">
        <v>33.96</v>
      </c>
      <c r="L104" s="20" t="s">
        <v>55</v>
      </c>
    </row>
    <row r="105" spans="1:49" s="20" customFormat="1" ht="14.1" customHeight="1" x14ac:dyDescent="0.2">
      <c r="A105" s="1" t="s">
        <v>125</v>
      </c>
      <c r="B105" s="1">
        <v>1461044.0071888999</v>
      </c>
      <c r="C105" s="1">
        <v>-329355.06882734102</v>
      </c>
      <c r="D105" s="1" t="s">
        <v>113</v>
      </c>
      <c r="E105" s="1">
        <v>646115.10381286498</v>
      </c>
      <c r="F105" s="1" t="s">
        <v>113</v>
      </c>
      <c r="G105" s="1" t="s">
        <v>52</v>
      </c>
      <c r="H105" s="1" t="s">
        <v>53</v>
      </c>
      <c r="I105" s="1" t="s">
        <v>54</v>
      </c>
      <c r="J105" s="1">
        <v>9.0500000000000007</v>
      </c>
      <c r="K105" s="1">
        <v>33.96</v>
      </c>
      <c r="L105" s="1" t="s">
        <v>55</v>
      </c>
      <c r="M105" s="2">
        <v>43194</v>
      </c>
      <c r="N105" s="3">
        <v>0.39513888888888887</v>
      </c>
      <c r="O105" s="3">
        <v>0.38778935185185182</v>
      </c>
      <c r="P105" s="2">
        <v>43195</v>
      </c>
      <c r="Q105" s="1">
        <v>50</v>
      </c>
      <c r="R105" s="1" t="s">
        <v>56</v>
      </c>
      <c r="S105" s="1">
        <v>2.4</v>
      </c>
      <c r="T105" s="1">
        <v>0.1</v>
      </c>
      <c r="U105" s="1">
        <v>16.39</v>
      </c>
      <c r="V105" s="1">
        <v>93.5</v>
      </c>
      <c r="W105" s="1">
        <v>9.16</v>
      </c>
      <c r="X105" s="1">
        <v>0.11799999999999999</v>
      </c>
      <c r="Y105" s="1">
        <v>8.31</v>
      </c>
      <c r="Z105" s="1" t="s">
        <v>54</v>
      </c>
      <c r="AA105" s="1">
        <v>36.700000000000003</v>
      </c>
      <c r="AB105" s="1">
        <v>9.5</v>
      </c>
      <c r="AC105" s="1" t="s">
        <v>54</v>
      </c>
      <c r="AD105" s="1" t="s">
        <v>54</v>
      </c>
      <c r="AE105" s="1" t="s">
        <v>54</v>
      </c>
      <c r="AF105" s="1" t="s">
        <v>54</v>
      </c>
      <c r="AG105" s="1" t="s">
        <v>54</v>
      </c>
      <c r="AH105" s="1" t="s">
        <v>54</v>
      </c>
      <c r="AI105" s="1" t="s">
        <v>54</v>
      </c>
      <c r="AJ105" s="1" t="s">
        <v>54</v>
      </c>
      <c r="AK105" s="1" t="s">
        <v>54</v>
      </c>
      <c r="AL105" s="1" t="s">
        <v>54</v>
      </c>
      <c r="AM105" s="1" t="s">
        <v>54</v>
      </c>
      <c r="AN105" s="1" t="s">
        <v>54</v>
      </c>
      <c r="AO105" s="1" t="s">
        <v>54</v>
      </c>
      <c r="AP105" s="1" t="s">
        <v>54</v>
      </c>
      <c r="AQ105" s="2">
        <v>43195</v>
      </c>
      <c r="AR105" s="3">
        <v>0.38750000000000001</v>
      </c>
      <c r="AS105" s="1">
        <v>0</v>
      </c>
      <c r="AT105" s="1" t="s">
        <v>54</v>
      </c>
      <c r="AU105" s="1" t="s">
        <v>54</v>
      </c>
      <c r="AV105" s="1">
        <v>36.068556999999998</v>
      </c>
      <c r="AW105" s="1">
        <v>78.768534000000002</v>
      </c>
    </row>
    <row r="106" spans="1:49" s="20" customFormat="1" ht="14.1" customHeight="1" x14ac:dyDescent="0.2">
      <c r="A106" s="20" t="s">
        <v>125</v>
      </c>
      <c r="B106" s="20">
        <v>1461044.0071888999</v>
      </c>
      <c r="C106" s="20">
        <v>-329355.06882734102</v>
      </c>
      <c r="D106" s="20" t="s">
        <v>113</v>
      </c>
      <c r="E106" s="20">
        <v>646115.10381286498</v>
      </c>
      <c r="F106" s="20" t="s">
        <v>113</v>
      </c>
      <c r="G106" s="20" t="s">
        <v>52</v>
      </c>
      <c r="H106" s="20" t="s">
        <v>53</v>
      </c>
      <c r="I106" s="20" t="s">
        <v>54</v>
      </c>
      <c r="J106" s="20">
        <v>9.0500000000000007</v>
      </c>
      <c r="K106" s="20">
        <v>33.96</v>
      </c>
      <c r="L106" s="20" t="s">
        <v>55</v>
      </c>
      <c r="M106" s="21">
        <v>43194</v>
      </c>
      <c r="N106" s="22">
        <v>0.39513888888888887</v>
      </c>
      <c r="O106" s="22">
        <v>0.38778935185185182</v>
      </c>
      <c r="P106" s="21">
        <v>43195</v>
      </c>
      <c r="Q106" s="20">
        <v>50</v>
      </c>
      <c r="R106" s="20" t="s">
        <v>56</v>
      </c>
      <c r="S106" s="20">
        <v>2.4</v>
      </c>
      <c r="T106" s="20">
        <v>0.1</v>
      </c>
      <c r="U106" s="20">
        <v>16.39</v>
      </c>
      <c r="V106" s="20">
        <v>93.5</v>
      </c>
      <c r="W106" s="20">
        <v>9.16</v>
      </c>
      <c r="X106" s="20">
        <v>0.11799999999999999</v>
      </c>
      <c r="Y106" s="20">
        <v>8.31</v>
      </c>
      <c r="Z106" s="20" t="s">
        <v>54</v>
      </c>
      <c r="AA106" s="20">
        <v>36.700000000000003</v>
      </c>
      <c r="AB106" s="20">
        <v>9.5</v>
      </c>
      <c r="AC106" s="20" t="s">
        <v>54</v>
      </c>
      <c r="AD106" s="20" t="s">
        <v>54</v>
      </c>
      <c r="AE106" s="20" t="s">
        <v>54</v>
      </c>
      <c r="AF106" s="20" t="s">
        <v>54</v>
      </c>
      <c r="AG106" s="20" t="s">
        <v>54</v>
      </c>
      <c r="AH106" s="20" t="s">
        <v>54</v>
      </c>
      <c r="AI106" s="20" t="s">
        <v>54</v>
      </c>
      <c r="AJ106" s="20" t="s">
        <v>54</v>
      </c>
      <c r="AK106" s="20" t="s">
        <v>54</v>
      </c>
      <c r="AL106" s="20" t="s">
        <v>54</v>
      </c>
      <c r="AM106" s="20" t="s">
        <v>54</v>
      </c>
      <c r="AN106" s="20" t="s">
        <v>54</v>
      </c>
      <c r="AO106" s="20" t="s">
        <v>54</v>
      </c>
      <c r="AP106" s="20" t="s">
        <v>54</v>
      </c>
      <c r="AQ106" s="21">
        <v>43195</v>
      </c>
      <c r="AR106" s="22">
        <v>0.38750000000000001</v>
      </c>
      <c r="AS106" s="20">
        <v>0</v>
      </c>
      <c r="AT106" s="20" t="s">
        <v>54</v>
      </c>
      <c r="AU106" s="20" t="s">
        <v>54</v>
      </c>
      <c r="AV106" s="20">
        <v>36.068556999999998</v>
      </c>
      <c r="AW106" s="20">
        <v>78.768534000000002</v>
      </c>
    </row>
    <row r="107" spans="1:49" s="20" customFormat="1" ht="14.1" customHeight="1" x14ac:dyDescent="0.2">
      <c r="A107" t="s">
        <v>126</v>
      </c>
      <c r="B107">
        <v>1459214.3085318899</v>
      </c>
      <c r="C107">
        <v>-329057.14778433798</v>
      </c>
      <c r="D107" t="s">
        <v>113</v>
      </c>
      <c r="E107">
        <v>646115.10381286498</v>
      </c>
      <c r="F107" t="s">
        <v>113</v>
      </c>
      <c r="G107" t="s">
        <v>52</v>
      </c>
      <c r="H107" s="18" t="s">
        <v>196</v>
      </c>
      <c r="I107" t="s">
        <v>54</v>
      </c>
      <c r="J107">
        <v>9.0500000000000007</v>
      </c>
      <c r="K107">
        <v>33.96</v>
      </c>
      <c r="L107" t="s">
        <v>55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</row>
    <row r="108" spans="1:49" s="20" customFormat="1" ht="14.1" customHeight="1" x14ac:dyDescent="0.2">
      <c r="A108" s="20" t="s">
        <v>126</v>
      </c>
      <c r="B108" s="20">
        <v>1459214.3085318899</v>
      </c>
      <c r="C108" s="20">
        <v>-329057.14778433798</v>
      </c>
      <c r="D108" s="20" t="s">
        <v>113</v>
      </c>
      <c r="E108" s="20">
        <v>646115.10381286498</v>
      </c>
      <c r="F108" s="20" t="s">
        <v>113</v>
      </c>
      <c r="G108" s="20" t="s">
        <v>52</v>
      </c>
      <c r="H108" s="20" t="s">
        <v>70</v>
      </c>
      <c r="I108" s="20" t="s">
        <v>54</v>
      </c>
      <c r="J108" s="20">
        <v>9.0500000000000007</v>
      </c>
      <c r="K108" s="20">
        <v>33.96</v>
      </c>
      <c r="L108" s="20" t="s">
        <v>55</v>
      </c>
    </row>
    <row r="109" spans="1:49" s="20" customFormat="1" ht="14.1" customHeight="1" x14ac:dyDescent="0.2">
      <c r="A109" s="1" t="s">
        <v>127</v>
      </c>
      <c r="B109" s="1">
        <v>1462405.38347255</v>
      </c>
      <c r="C109" s="1">
        <v>-331127.92091316101</v>
      </c>
      <c r="D109" s="1" t="s">
        <v>113</v>
      </c>
      <c r="E109" s="1">
        <v>646115.10381286498</v>
      </c>
      <c r="F109" s="1" t="s">
        <v>113</v>
      </c>
      <c r="G109" s="1" t="s">
        <v>52</v>
      </c>
      <c r="H109" s="1" t="s">
        <v>53</v>
      </c>
      <c r="I109" s="1" t="s">
        <v>54</v>
      </c>
      <c r="J109" s="1">
        <v>9.0500000000000007</v>
      </c>
      <c r="K109" s="1">
        <v>33.96</v>
      </c>
      <c r="L109" s="1" t="s">
        <v>55</v>
      </c>
      <c r="M109" s="2">
        <v>43194</v>
      </c>
      <c r="N109" s="3">
        <v>0.4236111111111111</v>
      </c>
      <c r="O109" s="4">
        <v>0.42378472222222219</v>
      </c>
      <c r="P109" s="2">
        <v>43195</v>
      </c>
      <c r="Q109" s="1">
        <v>45</v>
      </c>
      <c r="R109" s="1" t="s">
        <v>56</v>
      </c>
      <c r="S109" s="1">
        <v>2.9</v>
      </c>
      <c r="T109" s="1">
        <v>0.1</v>
      </c>
      <c r="U109" s="1">
        <v>16.23</v>
      </c>
      <c r="V109" s="1">
        <v>95.2</v>
      </c>
      <c r="W109" s="1">
        <v>9.41</v>
      </c>
      <c r="X109" s="1">
        <v>0.114</v>
      </c>
      <c r="Y109" s="1">
        <v>8.1199999999999992</v>
      </c>
      <c r="Z109" s="1" t="s">
        <v>54</v>
      </c>
      <c r="AA109" s="1">
        <v>30.6</v>
      </c>
      <c r="AB109" s="1">
        <v>9.3000000000000007</v>
      </c>
      <c r="AC109" s="1" t="s">
        <v>54</v>
      </c>
      <c r="AD109" s="1" t="s">
        <v>54</v>
      </c>
      <c r="AE109" s="1" t="s">
        <v>54</v>
      </c>
      <c r="AF109" s="1" t="s">
        <v>54</v>
      </c>
      <c r="AG109" s="1" t="s">
        <v>54</v>
      </c>
      <c r="AH109" s="1" t="s">
        <v>54</v>
      </c>
      <c r="AI109" s="1" t="s">
        <v>54</v>
      </c>
      <c r="AJ109" s="1" t="s">
        <v>54</v>
      </c>
      <c r="AK109" s="1" t="s">
        <v>54</v>
      </c>
      <c r="AL109" s="1" t="s">
        <v>54</v>
      </c>
      <c r="AM109" s="1" t="s">
        <v>54</v>
      </c>
      <c r="AN109" s="1" t="s">
        <v>54</v>
      </c>
      <c r="AO109" s="1" t="s">
        <v>54</v>
      </c>
      <c r="AP109" s="1" t="s">
        <v>54</v>
      </c>
      <c r="AQ109" s="2">
        <v>43195</v>
      </c>
      <c r="AR109" s="3">
        <v>0.4236111111111111</v>
      </c>
      <c r="AS109" s="1" t="s">
        <v>54</v>
      </c>
      <c r="AT109" s="1" t="s">
        <v>128</v>
      </c>
      <c r="AU109" s="18" t="s">
        <v>128</v>
      </c>
      <c r="AV109" s="1">
        <v>36.051257</v>
      </c>
      <c r="AW109" s="1">
        <v>78.756833999999998</v>
      </c>
    </row>
    <row r="110" spans="1:49" s="20" customFormat="1" ht="14.1" customHeight="1" x14ac:dyDescent="0.2">
      <c r="A110" s="20" t="s">
        <v>127</v>
      </c>
      <c r="B110" s="20">
        <v>1462405.38347255</v>
      </c>
      <c r="C110" s="20">
        <v>-331127.92091316101</v>
      </c>
      <c r="D110" s="20" t="s">
        <v>113</v>
      </c>
      <c r="E110" s="20">
        <v>646115.10381286498</v>
      </c>
      <c r="F110" s="20" t="s">
        <v>113</v>
      </c>
      <c r="G110" s="20" t="s">
        <v>52</v>
      </c>
      <c r="H110" s="20" t="s">
        <v>53</v>
      </c>
      <c r="I110" s="20" t="s">
        <v>54</v>
      </c>
      <c r="J110" s="20">
        <v>9.0500000000000007</v>
      </c>
      <c r="K110" s="20">
        <v>33.96</v>
      </c>
      <c r="L110" s="20" t="s">
        <v>55</v>
      </c>
      <c r="M110" s="21">
        <v>43194</v>
      </c>
      <c r="N110" s="22">
        <v>0.4236111111111111</v>
      </c>
      <c r="O110" s="23">
        <v>0.42378472222222219</v>
      </c>
      <c r="P110" s="21">
        <v>43195</v>
      </c>
      <c r="Q110" s="20">
        <v>45</v>
      </c>
      <c r="R110" s="20" t="s">
        <v>56</v>
      </c>
      <c r="S110" s="20">
        <v>2.9</v>
      </c>
      <c r="T110" s="20">
        <v>0.1</v>
      </c>
      <c r="U110" s="20">
        <v>16.23</v>
      </c>
      <c r="V110" s="20">
        <v>95.2</v>
      </c>
      <c r="W110" s="20">
        <v>9.41</v>
      </c>
      <c r="X110" s="20">
        <v>0.114</v>
      </c>
      <c r="Y110" s="20">
        <v>8.1199999999999992</v>
      </c>
      <c r="Z110" s="20" t="s">
        <v>54</v>
      </c>
      <c r="AA110" s="20">
        <v>30.6</v>
      </c>
      <c r="AB110" s="20">
        <v>9.3000000000000007</v>
      </c>
      <c r="AC110" s="20" t="s">
        <v>54</v>
      </c>
      <c r="AD110" s="20" t="s">
        <v>54</v>
      </c>
      <c r="AE110" s="20" t="s">
        <v>54</v>
      </c>
      <c r="AF110" s="20" t="s">
        <v>54</v>
      </c>
      <c r="AG110" s="20" t="s">
        <v>54</v>
      </c>
      <c r="AH110" s="20" t="s">
        <v>54</v>
      </c>
      <c r="AI110" s="20" t="s">
        <v>54</v>
      </c>
      <c r="AJ110" s="20" t="s">
        <v>54</v>
      </c>
      <c r="AK110" s="20" t="s">
        <v>54</v>
      </c>
      <c r="AL110" s="20" t="s">
        <v>54</v>
      </c>
      <c r="AM110" s="20" t="s">
        <v>54</v>
      </c>
      <c r="AN110" s="20" t="s">
        <v>54</v>
      </c>
      <c r="AO110" s="20" t="s">
        <v>54</v>
      </c>
      <c r="AP110" s="20" t="s">
        <v>54</v>
      </c>
      <c r="AQ110" s="21">
        <v>43195</v>
      </c>
      <c r="AR110" s="22">
        <v>0.4236111111111111</v>
      </c>
      <c r="AS110" s="20" t="s">
        <v>54</v>
      </c>
      <c r="AT110" s="20" t="s">
        <v>128</v>
      </c>
      <c r="AV110" s="20">
        <v>36.051257</v>
      </c>
      <c r="AW110" s="20">
        <v>78.756833999999998</v>
      </c>
    </row>
    <row r="111" spans="1:49" s="20" customFormat="1" ht="14.1" customHeight="1" x14ac:dyDescent="0.2">
      <c r="A111" s="1" t="s">
        <v>129</v>
      </c>
      <c r="B111" s="1">
        <v>1459545.6584246</v>
      </c>
      <c r="C111" s="1">
        <v>-329684.59249679599</v>
      </c>
      <c r="D111" s="1" t="s">
        <v>113</v>
      </c>
      <c r="E111" s="1">
        <v>646115.10381286498</v>
      </c>
      <c r="F111" s="1" t="s">
        <v>113</v>
      </c>
      <c r="G111" s="1" t="s">
        <v>52</v>
      </c>
      <c r="H111" s="1" t="s">
        <v>53</v>
      </c>
      <c r="I111" s="1" t="s">
        <v>54</v>
      </c>
      <c r="J111" s="1">
        <v>9.0500000000000007</v>
      </c>
      <c r="K111" s="1">
        <v>33.96</v>
      </c>
      <c r="L111" s="1" t="s">
        <v>55</v>
      </c>
      <c r="M111" s="2">
        <v>43194</v>
      </c>
      <c r="N111" s="3">
        <v>0.36874999999999997</v>
      </c>
      <c r="O111" s="3">
        <v>0.35726851851851849</v>
      </c>
      <c r="P111" s="2">
        <v>43195</v>
      </c>
      <c r="Q111" s="1">
        <v>50</v>
      </c>
      <c r="R111" s="1" t="s">
        <v>56</v>
      </c>
      <c r="S111" s="1">
        <v>1.3</v>
      </c>
      <c r="T111" s="1">
        <v>0.1</v>
      </c>
      <c r="U111" s="1">
        <v>16.559999999999999</v>
      </c>
      <c r="V111" s="1">
        <v>96.4</v>
      </c>
      <c r="W111" s="1">
        <v>9.35</v>
      </c>
      <c r="X111" s="1">
        <v>0.13300000000000001</v>
      </c>
      <c r="Y111" s="1">
        <v>8.6999999999999993</v>
      </c>
      <c r="Z111" s="1" t="s">
        <v>54</v>
      </c>
      <c r="AA111" s="1">
        <v>41.7</v>
      </c>
      <c r="AB111" s="1">
        <v>14</v>
      </c>
      <c r="AC111" s="1" t="s">
        <v>54</v>
      </c>
      <c r="AD111" s="1" t="s">
        <v>54</v>
      </c>
      <c r="AE111" s="1" t="s">
        <v>54</v>
      </c>
      <c r="AF111" s="1" t="s">
        <v>54</v>
      </c>
      <c r="AG111" s="1" t="s">
        <v>54</v>
      </c>
      <c r="AH111" s="1" t="s">
        <v>54</v>
      </c>
      <c r="AI111" s="1" t="s">
        <v>54</v>
      </c>
      <c r="AJ111" s="1" t="s">
        <v>54</v>
      </c>
      <c r="AK111" s="1" t="s">
        <v>54</v>
      </c>
      <c r="AL111" s="1" t="s">
        <v>54</v>
      </c>
      <c r="AM111" s="1" t="s">
        <v>54</v>
      </c>
      <c r="AN111" s="1" t="s">
        <v>54</v>
      </c>
      <c r="AO111" s="1" t="s">
        <v>54</v>
      </c>
      <c r="AP111" s="1" t="s">
        <v>54</v>
      </c>
      <c r="AQ111" s="2">
        <v>43195</v>
      </c>
      <c r="AR111" s="3">
        <v>0.35694444444444445</v>
      </c>
      <c r="AS111" s="1">
        <v>1</v>
      </c>
      <c r="AT111" s="1" t="s">
        <v>54</v>
      </c>
      <c r="AU111" s="1" t="s">
        <v>54</v>
      </c>
      <c r="AV111" s="1">
        <v>36.068345000000001</v>
      </c>
      <c r="AW111" s="1">
        <v>78.786124000000001</v>
      </c>
    </row>
    <row r="112" spans="1:49" s="20" customFormat="1" ht="14.1" customHeight="1" x14ac:dyDescent="0.2">
      <c r="A112" s="20" t="s">
        <v>129</v>
      </c>
      <c r="B112" s="20">
        <v>1459545.6584246</v>
      </c>
      <c r="C112" s="20">
        <v>-329684.59249679599</v>
      </c>
      <c r="D112" s="20" t="s">
        <v>113</v>
      </c>
      <c r="E112" s="20">
        <v>646115.10381286498</v>
      </c>
      <c r="F112" s="20" t="s">
        <v>113</v>
      </c>
      <c r="G112" s="20" t="s">
        <v>52</v>
      </c>
      <c r="H112" s="20" t="s">
        <v>53</v>
      </c>
      <c r="I112" s="20" t="s">
        <v>54</v>
      </c>
      <c r="J112" s="20">
        <v>9.0500000000000007</v>
      </c>
      <c r="K112" s="20">
        <v>33.96</v>
      </c>
      <c r="L112" s="20" t="s">
        <v>55</v>
      </c>
      <c r="M112" s="21">
        <v>43194</v>
      </c>
      <c r="N112" s="22">
        <v>0.36874999999999997</v>
      </c>
      <c r="O112" s="22">
        <v>0.35726851851851849</v>
      </c>
      <c r="P112" s="21">
        <v>43195</v>
      </c>
      <c r="Q112" s="20">
        <v>50</v>
      </c>
      <c r="R112" s="20" t="s">
        <v>56</v>
      </c>
      <c r="S112" s="20">
        <v>1.3</v>
      </c>
      <c r="T112" s="20">
        <v>0.1</v>
      </c>
      <c r="U112" s="20">
        <v>16.559999999999999</v>
      </c>
      <c r="V112" s="20">
        <v>96.4</v>
      </c>
      <c r="W112" s="20">
        <v>9.35</v>
      </c>
      <c r="X112" s="20">
        <v>0.13300000000000001</v>
      </c>
      <c r="Y112" s="20">
        <v>8.6999999999999993</v>
      </c>
      <c r="Z112" s="20" t="s">
        <v>54</v>
      </c>
      <c r="AA112" s="20">
        <v>41.7</v>
      </c>
      <c r="AB112" s="20">
        <v>14</v>
      </c>
      <c r="AC112" s="20" t="s">
        <v>54</v>
      </c>
      <c r="AD112" s="20" t="s">
        <v>54</v>
      </c>
      <c r="AE112" s="20" t="s">
        <v>54</v>
      </c>
      <c r="AF112" s="20" t="s">
        <v>54</v>
      </c>
      <c r="AG112" s="20" t="s">
        <v>54</v>
      </c>
      <c r="AH112" s="20" t="s">
        <v>54</v>
      </c>
      <c r="AI112" s="20" t="s">
        <v>54</v>
      </c>
      <c r="AJ112" s="20" t="s">
        <v>54</v>
      </c>
      <c r="AK112" s="20" t="s">
        <v>54</v>
      </c>
      <c r="AL112" s="20" t="s">
        <v>54</v>
      </c>
      <c r="AM112" s="20" t="s">
        <v>54</v>
      </c>
      <c r="AN112" s="20" t="s">
        <v>54</v>
      </c>
      <c r="AO112" s="20" t="s">
        <v>54</v>
      </c>
      <c r="AP112" s="20" t="s">
        <v>54</v>
      </c>
      <c r="AQ112" s="21">
        <v>43195</v>
      </c>
      <c r="AR112" s="22">
        <v>0.35694444444444445</v>
      </c>
      <c r="AS112" s="20">
        <v>1</v>
      </c>
      <c r="AT112" s="20" t="s">
        <v>54</v>
      </c>
      <c r="AU112" s="20" t="s">
        <v>54</v>
      </c>
      <c r="AV112" s="20">
        <v>36.068345000000001</v>
      </c>
      <c r="AW112" s="20">
        <v>78.786124000000001</v>
      </c>
    </row>
    <row r="113" spans="1:49" s="20" customFormat="1" ht="14.1" customHeight="1" x14ac:dyDescent="0.2">
      <c r="A113" t="s">
        <v>130</v>
      </c>
      <c r="B113">
        <v>1460710.10350598</v>
      </c>
      <c r="C113">
        <v>-331828.07014131598</v>
      </c>
      <c r="D113" t="s">
        <v>113</v>
      </c>
      <c r="E113">
        <v>646115.10381286498</v>
      </c>
      <c r="F113" t="s">
        <v>113</v>
      </c>
      <c r="G113" t="s">
        <v>52</v>
      </c>
      <c r="H113" s="18" t="s">
        <v>196</v>
      </c>
      <c r="I113" t="s">
        <v>54</v>
      </c>
      <c r="J113">
        <v>9.0500000000000007</v>
      </c>
      <c r="K113">
        <v>33.96</v>
      </c>
      <c r="L113" t="s">
        <v>55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</row>
    <row r="114" spans="1:49" s="20" customFormat="1" ht="14.1" customHeight="1" x14ac:dyDescent="0.2">
      <c r="A114" s="20" t="s">
        <v>130</v>
      </c>
      <c r="B114" s="20">
        <v>1460710.10350598</v>
      </c>
      <c r="C114" s="20">
        <v>-331828.07014131598</v>
      </c>
      <c r="D114" s="20" t="s">
        <v>113</v>
      </c>
      <c r="E114" s="20">
        <v>646115.10381286498</v>
      </c>
      <c r="F114" s="20" t="s">
        <v>113</v>
      </c>
      <c r="G114" s="20" t="s">
        <v>52</v>
      </c>
      <c r="H114" s="20" t="s">
        <v>70</v>
      </c>
      <c r="I114" s="20" t="s">
        <v>54</v>
      </c>
      <c r="J114" s="20">
        <v>9.0500000000000007</v>
      </c>
      <c r="K114" s="20">
        <v>33.96</v>
      </c>
      <c r="L114" s="20" t="s">
        <v>55</v>
      </c>
    </row>
    <row r="115" spans="1:49" s="20" customFormat="1" ht="14.1" customHeight="1" x14ac:dyDescent="0.2">
      <c r="A115" s="1" t="s">
        <v>131</v>
      </c>
      <c r="B115" s="1">
        <v>1461494.6966983201</v>
      </c>
      <c r="C115" s="1">
        <v>-327926.46614629403</v>
      </c>
      <c r="D115" s="1" t="s">
        <v>113</v>
      </c>
      <c r="E115" s="1">
        <v>646115.10381286498</v>
      </c>
      <c r="F115" s="1" t="s">
        <v>113</v>
      </c>
      <c r="G115" s="1" t="s">
        <v>52</v>
      </c>
      <c r="H115" s="1" t="s">
        <v>53</v>
      </c>
      <c r="I115" s="1" t="s">
        <v>54</v>
      </c>
      <c r="J115" s="1">
        <v>9.0500000000000007</v>
      </c>
      <c r="K115" s="1">
        <v>33.96</v>
      </c>
      <c r="L115" s="1" t="s">
        <v>55</v>
      </c>
      <c r="M115" s="2">
        <v>43194</v>
      </c>
      <c r="N115" s="3">
        <v>0.38541666666666669</v>
      </c>
      <c r="O115" s="3">
        <v>0.37662037037037038</v>
      </c>
      <c r="P115" s="2">
        <v>43195</v>
      </c>
      <c r="Q115" s="1">
        <v>50</v>
      </c>
      <c r="R115" s="1" t="s">
        <v>56</v>
      </c>
      <c r="S115" s="1">
        <v>1.4</v>
      </c>
      <c r="T115" s="1">
        <v>0.1</v>
      </c>
      <c r="U115" s="1">
        <v>16.91</v>
      </c>
      <c r="V115" s="1">
        <v>95.5</v>
      </c>
      <c r="W115" s="1">
        <v>9.26</v>
      </c>
      <c r="X115" s="1">
        <v>0.11899999999999999</v>
      </c>
      <c r="Y115" s="1">
        <v>8.48</v>
      </c>
      <c r="Z115" s="1" t="s">
        <v>54</v>
      </c>
      <c r="AA115" s="1">
        <v>39.299999999999997</v>
      </c>
      <c r="AB115" s="1">
        <v>11.2</v>
      </c>
      <c r="AC115" s="1" t="s">
        <v>54</v>
      </c>
      <c r="AD115" s="1" t="s">
        <v>54</v>
      </c>
      <c r="AE115" s="1" t="s">
        <v>54</v>
      </c>
      <c r="AF115" s="1" t="s">
        <v>54</v>
      </c>
      <c r="AG115" s="1" t="s">
        <v>54</v>
      </c>
      <c r="AH115" s="1" t="s">
        <v>54</v>
      </c>
      <c r="AI115" s="1" t="s">
        <v>54</v>
      </c>
      <c r="AJ115" s="1" t="s">
        <v>54</v>
      </c>
      <c r="AK115" s="1" t="s">
        <v>54</v>
      </c>
      <c r="AL115" s="1" t="s">
        <v>54</v>
      </c>
      <c r="AM115" s="1" t="s">
        <v>54</v>
      </c>
      <c r="AN115" s="1" t="s">
        <v>54</v>
      </c>
      <c r="AO115" s="1" t="s">
        <v>54</v>
      </c>
      <c r="AP115" s="1" t="s">
        <v>54</v>
      </c>
      <c r="AQ115" s="2">
        <v>43195</v>
      </c>
      <c r="AR115" s="3">
        <v>0.37638888888888888</v>
      </c>
      <c r="AS115" s="1" t="s">
        <v>54</v>
      </c>
      <c r="AT115" s="1" t="s">
        <v>132</v>
      </c>
      <c r="AU115" s="18" t="s">
        <v>132</v>
      </c>
      <c r="AV115" s="1">
        <v>36.079746999999998</v>
      </c>
      <c r="AW115" s="1">
        <v>78.760391999999996</v>
      </c>
    </row>
    <row r="116" spans="1:49" s="20" customFormat="1" ht="14.1" customHeight="1" x14ac:dyDescent="0.2">
      <c r="A116" s="20" t="s">
        <v>131</v>
      </c>
      <c r="B116" s="20">
        <v>1461494.6966983201</v>
      </c>
      <c r="C116" s="20">
        <v>-327926.46614629403</v>
      </c>
      <c r="D116" s="20" t="s">
        <v>113</v>
      </c>
      <c r="E116" s="20">
        <v>646115.10381286498</v>
      </c>
      <c r="F116" s="20" t="s">
        <v>113</v>
      </c>
      <c r="G116" s="20" t="s">
        <v>52</v>
      </c>
      <c r="H116" s="20" t="s">
        <v>53</v>
      </c>
      <c r="I116" s="20" t="s">
        <v>54</v>
      </c>
      <c r="J116" s="20">
        <v>9.0500000000000007</v>
      </c>
      <c r="K116" s="20">
        <v>33.96</v>
      </c>
      <c r="L116" s="20" t="s">
        <v>55</v>
      </c>
      <c r="M116" s="21">
        <v>43194</v>
      </c>
      <c r="N116" s="22">
        <v>0.38541666666666669</v>
      </c>
      <c r="O116" s="22">
        <v>0.37662037037037038</v>
      </c>
      <c r="P116" s="21">
        <v>43195</v>
      </c>
      <c r="Q116" s="20">
        <v>50</v>
      </c>
      <c r="R116" s="20" t="s">
        <v>56</v>
      </c>
      <c r="S116" s="20">
        <v>1.4</v>
      </c>
      <c r="T116" s="20">
        <v>0.1</v>
      </c>
      <c r="U116" s="20">
        <v>16.91</v>
      </c>
      <c r="V116" s="20">
        <v>95.5</v>
      </c>
      <c r="W116" s="20">
        <v>9.26</v>
      </c>
      <c r="X116" s="20">
        <v>0.11899999999999999</v>
      </c>
      <c r="Y116" s="20">
        <v>8.48</v>
      </c>
      <c r="Z116" s="20" t="s">
        <v>54</v>
      </c>
      <c r="AA116" s="20">
        <v>39.299999999999997</v>
      </c>
      <c r="AB116" s="20">
        <v>11.2</v>
      </c>
      <c r="AC116" s="20" t="s">
        <v>54</v>
      </c>
      <c r="AD116" s="20" t="s">
        <v>54</v>
      </c>
      <c r="AE116" s="20" t="s">
        <v>54</v>
      </c>
      <c r="AF116" s="20" t="s">
        <v>54</v>
      </c>
      <c r="AG116" s="20" t="s">
        <v>54</v>
      </c>
      <c r="AH116" s="20" t="s">
        <v>54</v>
      </c>
      <c r="AI116" s="20" t="s">
        <v>54</v>
      </c>
      <c r="AJ116" s="20" t="s">
        <v>54</v>
      </c>
      <c r="AK116" s="20" t="s">
        <v>54</v>
      </c>
      <c r="AL116" s="20" t="s">
        <v>54</v>
      </c>
      <c r="AM116" s="20" t="s">
        <v>54</v>
      </c>
      <c r="AN116" s="20" t="s">
        <v>54</v>
      </c>
      <c r="AO116" s="20" t="s">
        <v>54</v>
      </c>
      <c r="AP116" s="20" t="s">
        <v>54</v>
      </c>
      <c r="AQ116" s="21">
        <v>43195</v>
      </c>
      <c r="AR116" s="22">
        <v>0.37638888888888888</v>
      </c>
      <c r="AS116" s="20" t="s">
        <v>54</v>
      </c>
      <c r="AT116" s="20" t="s">
        <v>132</v>
      </c>
      <c r="AV116" s="20">
        <v>36.079746999999998</v>
      </c>
      <c r="AW116" s="20">
        <v>78.760391999999996</v>
      </c>
    </row>
    <row r="117" spans="1:49" s="20" customFormat="1" ht="14.1" customHeight="1" x14ac:dyDescent="0.2">
      <c r="A117" s="1" t="s">
        <v>133</v>
      </c>
      <c r="B117" s="1">
        <v>1458850.18612617</v>
      </c>
      <c r="C117" s="1">
        <v>-329663.84827559098</v>
      </c>
      <c r="D117" s="1" t="s">
        <v>113</v>
      </c>
      <c r="E117" s="1">
        <v>646115.10381286498</v>
      </c>
      <c r="F117" s="1" t="s">
        <v>113</v>
      </c>
      <c r="G117" s="1" t="s">
        <v>52</v>
      </c>
      <c r="H117" s="1" t="s">
        <v>53</v>
      </c>
      <c r="I117" s="1" t="s">
        <v>54</v>
      </c>
      <c r="J117" s="1">
        <v>9.0500000000000007</v>
      </c>
      <c r="K117" s="1">
        <v>33.96</v>
      </c>
      <c r="L117" s="1" t="s">
        <v>55</v>
      </c>
      <c r="M117" s="2">
        <v>43194</v>
      </c>
      <c r="N117" s="3">
        <v>0.35416666666666669</v>
      </c>
      <c r="O117" s="3">
        <v>0.34525462962962966</v>
      </c>
      <c r="P117" s="2">
        <v>43195</v>
      </c>
      <c r="Q117" s="1">
        <v>50</v>
      </c>
      <c r="R117" s="1" t="s">
        <v>56</v>
      </c>
      <c r="S117" s="1">
        <v>1</v>
      </c>
      <c r="T117" s="1">
        <v>0.1</v>
      </c>
      <c r="U117" s="1">
        <v>16.39</v>
      </c>
      <c r="V117" s="1">
        <v>97</v>
      </c>
      <c r="W117" s="1">
        <v>9.5</v>
      </c>
      <c r="X117" s="1">
        <v>0.13900000000000001</v>
      </c>
      <c r="Y117" s="1">
        <v>8.8000000000000007</v>
      </c>
      <c r="Z117" s="1" t="s">
        <v>54</v>
      </c>
      <c r="AA117" s="1">
        <v>39.5</v>
      </c>
      <c r="AB117" s="1">
        <v>13.9</v>
      </c>
      <c r="AC117" s="1" t="s">
        <v>54</v>
      </c>
      <c r="AD117" s="1" t="s">
        <v>54</v>
      </c>
      <c r="AE117" s="1" t="s">
        <v>54</v>
      </c>
      <c r="AF117" s="1" t="s">
        <v>54</v>
      </c>
      <c r="AG117" s="1" t="s">
        <v>54</v>
      </c>
      <c r="AH117" s="1" t="s">
        <v>54</v>
      </c>
      <c r="AI117" s="1" t="s">
        <v>54</v>
      </c>
      <c r="AJ117" s="1" t="s">
        <v>54</v>
      </c>
      <c r="AK117" s="1" t="s">
        <v>54</v>
      </c>
      <c r="AL117" s="1" t="s">
        <v>54</v>
      </c>
      <c r="AM117" s="1" t="s">
        <v>54</v>
      </c>
      <c r="AN117" s="1" t="s">
        <v>54</v>
      </c>
      <c r="AO117" s="1" t="s">
        <v>54</v>
      </c>
      <c r="AP117" s="1" t="s">
        <v>54</v>
      </c>
      <c r="AQ117" s="2">
        <v>43195</v>
      </c>
      <c r="AR117" s="3">
        <v>0.34513888888888888</v>
      </c>
      <c r="AS117" s="1">
        <v>1</v>
      </c>
      <c r="AT117" s="1" t="s">
        <v>54</v>
      </c>
      <c r="AU117" s="1" t="s">
        <v>54</v>
      </c>
      <c r="AV117" s="1">
        <v>36.069228000000003</v>
      </c>
      <c r="AW117" s="1">
        <v>78.794078999999996</v>
      </c>
    </row>
    <row r="118" spans="1:49" s="20" customFormat="1" ht="14.1" customHeight="1" x14ac:dyDescent="0.2">
      <c r="A118" s="20" t="s">
        <v>133</v>
      </c>
      <c r="B118" s="20">
        <v>1458850.18612617</v>
      </c>
      <c r="C118" s="20">
        <v>-329663.84827559098</v>
      </c>
      <c r="D118" s="20" t="s">
        <v>113</v>
      </c>
      <c r="E118" s="20">
        <v>646115.10381286498</v>
      </c>
      <c r="F118" s="20" t="s">
        <v>113</v>
      </c>
      <c r="G118" s="20" t="s">
        <v>52</v>
      </c>
      <c r="H118" s="20" t="s">
        <v>53</v>
      </c>
      <c r="I118" s="20" t="s">
        <v>54</v>
      </c>
      <c r="J118" s="20">
        <v>9.0500000000000007</v>
      </c>
      <c r="K118" s="20">
        <v>33.96</v>
      </c>
      <c r="L118" s="20" t="s">
        <v>55</v>
      </c>
      <c r="M118" s="21">
        <v>43194</v>
      </c>
      <c r="N118" s="22">
        <v>0.35416666666666669</v>
      </c>
      <c r="O118" s="22">
        <v>0.34525462962962966</v>
      </c>
      <c r="P118" s="21">
        <v>43195</v>
      </c>
      <c r="Q118" s="20">
        <v>50</v>
      </c>
      <c r="R118" s="20" t="s">
        <v>56</v>
      </c>
      <c r="S118" s="20">
        <v>1</v>
      </c>
      <c r="T118" s="20">
        <v>0.1</v>
      </c>
      <c r="U118" s="20">
        <v>16.39</v>
      </c>
      <c r="V118" s="20">
        <v>97</v>
      </c>
      <c r="W118" s="20">
        <v>9.5</v>
      </c>
      <c r="X118" s="20">
        <v>0.13900000000000001</v>
      </c>
      <c r="Y118" s="20">
        <v>8.8000000000000007</v>
      </c>
      <c r="Z118" s="20" t="s">
        <v>54</v>
      </c>
      <c r="AA118" s="20">
        <v>39.5</v>
      </c>
      <c r="AB118" s="20">
        <v>13.9</v>
      </c>
      <c r="AC118" s="20" t="s">
        <v>54</v>
      </c>
      <c r="AD118" s="20" t="s">
        <v>54</v>
      </c>
      <c r="AE118" s="20" t="s">
        <v>54</v>
      </c>
      <c r="AF118" s="20" t="s">
        <v>54</v>
      </c>
      <c r="AG118" s="20" t="s">
        <v>54</v>
      </c>
      <c r="AH118" s="20" t="s">
        <v>54</v>
      </c>
      <c r="AI118" s="20" t="s">
        <v>54</v>
      </c>
      <c r="AJ118" s="20" t="s">
        <v>54</v>
      </c>
      <c r="AK118" s="20" t="s">
        <v>54</v>
      </c>
      <c r="AL118" s="20" t="s">
        <v>54</v>
      </c>
      <c r="AM118" s="20" t="s">
        <v>54</v>
      </c>
      <c r="AN118" s="20" t="s">
        <v>54</v>
      </c>
      <c r="AO118" s="20" t="s">
        <v>54</v>
      </c>
      <c r="AP118" s="20" t="s">
        <v>54</v>
      </c>
      <c r="AQ118" s="21">
        <v>43195</v>
      </c>
      <c r="AR118" s="22">
        <v>0.34513888888888888</v>
      </c>
      <c r="AS118" s="20">
        <v>1</v>
      </c>
      <c r="AT118" s="20" t="s">
        <v>54</v>
      </c>
      <c r="AU118" s="20" t="s">
        <v>54</v>
      </c>
      <c r="AV118" s="20">
        <v>36.069228000000003</v>
      </c>
      <c r="AW118" s="20">
        <v>78.794078999999996</v>
      </c>
    </row>
    <row r="119" spans="1:49" s="20" customFormat="1" ht="14.1" customHeight="1" x14ac:dyDescent="0.2">
      <c r="A119" s="1" t="s">
        <v>134</v>
      </c>
      <c r="B119" s="1">
        <v>1461556.41889928</v>
      </c>
      <c r="C119" s="1">
        <v>-330515.08316079603</v>
      </c>
      <c r="D119" s="1" t="s">
        <v>113</v>
      </c>
      <c r="E119" s="1">
        <v>646115.10381286498</v>
      </c>
      <c r="F119" s="1" t="s">
        <v>113</v>
      </c>
      <c r="G119" s="1" t="s">
        <v>52</v>
      </c>
      <c r="H119" s="1" t="s">
        <v>53</v>
      </c>
      <c r="I119" s="1" t="s">
        <v>54</v>
      </c>
      <c r="J119" s="1">
        <v>9.0500000000000007</v>
      </c>
      <c r="K119" s="1">
        <v>33.96</v>
      </c>
      <c r="L119" s="1" t="s">
        <v>55</v>
      </c>
      <c r="M119" s="2">
        <v>43194</v>
      </c>
      <c r="N119" s="3">
        <v>0.40625</v>
      </c>
      <c r="O119" s="4">
        <v>0.40145833333333331</v>
      </c>
      <c r="P119" s="2">
        <v>43195</v>
      </c>
      <c r="Q119" s="1">
        <v>50</v>
      </c>
      <c r="R119" s="1" t="s">
        <v>56</v>
      </c>
      <c r="S119" s="1">
        <v>1.9</v>
      </c>
      <c r="T119" s="1">
        <v>0.1</v>
      </c>
      <c r="U119" s="1">
        <v>16.73</v>
      </c>
      <c r="V119" s="1">
        <v>98.3</v>
      </c>
      <c r="W119" s="1">
        <v>9.5299999999999994</v>
      </c>
      <c r="X119" s="1">
        <v>0.112</v>
      </c>
      <c r="Y119" s="1">
        <v>8.1999999999999993</v>
      </c>
      <c r="Z119" s="1" t="s">
        <v>54</v>
      </c>
      <c r="AA119" s="1">
        <v>32</v>
      </c>
      <c r="AB119" s="1">
        <v>9.1999999999999993</v>
      </c>
      <c r="AC119" s="1" t="s">
        <v>54</v>
      </c>
      <c r="AD119" s="1" t="s">
        <v>54</v>
      </c>
      <c r="AE119" s="1" t="s">
        <v>54</v>
      </c>
      <c r="AF119" s="1" t="s">
        <v>54</v>
      </c>
      <c r="AG119" s="1" t="s">
        <v>54</v>
      </c>
      <c r="AH119" s="1" t="s">
        <v>54</v>
      </c>
      <c r="AI119" s="1" t="s">
        <v>54</v>
      </c>
      <c r="AJ119" s="1" t="s">
        <v>54</v>
      </c>
      <c r="AK119" s="1" t="s">
        <v>54</v>
      </c>
      <c r="AL119" s="1" t="s">
        <v>54</v>
      </c>
      <c r="AM119" s="1" t="s">
        <v>54</v>
      </c>
      <c r="AN119" s="1" t="s">
        <v>54</v>
      </c>
      <c r="AO119" s="1" t="s">
        <v>54</v>
      </c>
      <c r="AP119" s="1" t="s">
        <v>54</v>
      </c>
      <c r="AQ119" s="2">
        <v>43195</v>
      </c>
      <c r="AR119" s="3">
        <v>0.40138888888888885</v>
      </c>
      <c r="AS119" s="1">
        <v>0</v>
      </c>
      <c r="AT119" s="1" t="s">
        <v>54</v>
      </c>
      <c r="AU119" s="1" t="s">
        <v>54</v>
      </c>
      <c r="AV119" s="1">
        <v>36.057850000000002</v>
      </c>
      <c r="AW119" s="1">
        <v>78.765141999999997</v>
      </c>
    </row>
    <row r="120" spans="1:49" s="20" customFormat="1" ht="14.1" customHeight="1" x14ac:dyDescent="0.2">
      <c r="A120" s="20" t="s">
        <v>134</v>
      </c>
      <c r="B120" s="20">
        <v>1461556.41889928</v>
      </c>
      <c r="C120" s="20">
        <v>-330515.08316079603</v>
      </c>
      <c r="D120" s="20" t="s">
        <v>113</v>
      </c>
      <c r="E120" s="20">
        <v>646115.10381286498</v>
      </c>
      <c r="F120" s="20" t="s">
        <v>113</v>
      </c>
      <c r="G120" s="20" t="s">
        <v>52</v>
      </c>
      <c r="H120" s="20" t="s">
        <v>53</v>
      </c>
      <c r="I120" s="20" t="s">
        <v>54</v>
      </c>
      <c r="J120" s="20">
        <v>9.0500000000000007</v>
      </c>
      <c r="K120" s="20">
        <v>33.96</v>
      </c>
      <c r="L120" s="20" t="s">
        <v>55</v>
      </c>
      <c r="M120" s="21">
        <v>43194</v>
      </c>
      <c r="N120" s="22">
        <v>0.40625</v>
      </c>
      <c r="O120" s="23">
        <v>0.40145833333333331</v>
      </c>
      <c r="P120" s="21">
        <v>43195</v>
      </c>
      <c r="Q120" s="20">
        <v>50</v>
      </c>
      <c r="R120" s="20" t="s">
        <v>56</v>
      </c>
      <c r="S120" s="20">
        <v>1.9</v>
      </c>
      <c r="T120" s="20">
        <v>0.1</v>
      </c>
      <c r="U120" s="20">
        <v>16.73</v>
      </c>
      <c r="V120" s="20">
        <v>98.3</v>
      </c>
      <c r="W120" s="20">
        <v>9.5299999999999994</v>
      </c>
      <c r="X120" s="20">
        <v>0.112</v>
      </c>
      <c r="Y120" s="20">
        <v>8.1999999999999993</v>
      </c>
      <c r="Z120" s="20" t="s">
        <v>54</v>
      </c>
      <c r="AA120" s="20">
        <v>32</v>
      </c>
      <c r="AB120" s="20">
        <v>9.1999999999999993</v>
      </c>
      <c r="AC120" s="20" t="s">
        <v>54</v>
      </c>
      <c r="AD120" s="20" t="s">
        <v>54</v>
      </c>
      <c r="AE120" s="20" t="s">
        <v>54</v>
      </c>
      <c r="AF120" s="20" t="s">
        <v>54</v>
      </c>
      <c r="AG120" s="20" t="s">
        <v>54</v>
      </c>
      <c r="AH120" s="20" t="s">
        <v>54</v>
      </c>
      <c r="AI120" s="20" t="s">
        <v>54</v>
      </c>
      <c r="AJ120" s="20" t="s">
        <v>54</v>
      </c>
      <c r="AK120" s="20" t="s">
        <v>54</v>
      </c>
      <c r="AL120" s="20" t="s">
        <v>54</v>
      </c>
      <c r="AM120" s="20" t="s">
        <v>54</v>
      </c>
      <c r="AN120" s="20" t="s">
        <v>54</v>
      </c>
      <c r="AO120" s="20" t="s">
        <v>54</v>
      </c>
      <c r="AP120" s="20" t="s">
        <v>54</v>
      </c>
      <c r="AQ120" s="21">
        <v>43195</v>
      </c>
      <c r="AR120" s="22">
        <v>0.40138888888888885</v>
      </c>
      <c r="AS120" s="20">
        <v>0</v>
      </c>
      <c r="AT120" s="20" t="s">
        <v>54</v>
      </c>
      <c r="AU120" s="20" t="s">
        <v>54</v>
      </c>
      <c r="AV120" s="20">
        <v>36.057850000000002</v>
      </c>
      <c r="AW120" s="20">
        <v>78.765141999999997</v>
      </c>
    </row>
    <row r="121" spans="1:49" s="20" customFormat="1" ht="14.1" customHeight="1" x14ac:dyDescent="0.2">
      <c r="A121" s="1" t="s">
        <v>135</v>
      </c>
      <c r="B121" s="1">
        <v>1461966.0872102999</v>
      </c>
      <c r="C121" s="1">
        <v>-331004.33148379897</v>
      </c>
      <c r="D121" s="1" t="s">
        <v>113</v>
      </c>
      <c r="E121" s="1">
        <v>646115.10381286498</v>
      </c>
      <c r="F121" s="1" t="s">
        <v>113</v>
      </c>
      <c r="G121" s="18" t="s">
        <v>197</v>
      </c>
      <c r="H121" s="1" t="s">
        <v>53</v>
      </c>
      <c r="I121" s="1" t="s">
        <v>54</v>
      </c>
      <c r="J121" s="1">
        <v>9.0500000000000007</v>
      </c>
      <c r="K121" s="1">
        <v>33.96</v>
      </c>
      <c r="L121" s="1" t="s">
        <v>55</v>
      </c>
      <c r="M121" s="2">
        <v>43194</v>
      </c>
      <c r="N121" s="3">
        <v>0.41250000000000003</v>
      </c>
      <c r="O121" s="4">
        <v>0.40689814814814818</v>
      </c>
      <c r="P121" s="2">
        <v>43195</v>
      </c>
      <c r="Q121" s="1">
        <v>50</v>
      </c>
      <c r="R121" s="1" t="s">
        <v>56</v>
      </c>
      <c r="S121" s="1">
        <v>2.4</v>
      </c>
      <c r="T121" s="1">
        <v>0.1</v>
      </c>
      <c r="U121" s="1">
        <v>16.48</v>
      </c>
      <c r="V121" s="1">
        <v>96.3</v>
      </c>
      <c r="W121" s="1">
        <v>9.42</v>
      </c>
      <c r="X121" s="1">
        <v>0.114</v>
      </c>
      <c r="Y121" s="1">
        <v>8.1999999999999993</v>
      </c>
      <c r="Z121" s="1" t="s">
        <v>54</v>
      </c>
      <c r="AA121" s="1">
        <v>28.5</v>
      </c>
      <c r="AB121" s="1">
        <v>10.6</v>
      </c>
      <c r="AC121" s="1" t="s">
        <v>54</v>
      </c>
      <c r="AD121" s="1" t="s">
        <v>54</v>
      </c>
      <c r="AE121" s="1" t="s">
        <v>54</v>
      </c>
      <c r="AF121" s="1" t="s">
        <v>54</v>
      </c>
      <c r="AG121" s="1" t="s">
        <v>54</v>
      </c>
      <c r="AH121" s="1" t="s">
        <v>54</v>
      </c>
      <c r="AI121" s="1" t="s">
        <v>54</v>
      </c>
      <c r="AJ121" s="1" t="s">
        <v>54</v>
      </c>
      <c r="AK121" s="1" t="s">
        <v>54</v>
      </c>
      <c r="AL121" s="1" t="s">
        <v>54</v>
      </c>
      <c r="AM121" s="1" t="s">
        <v>54</v>
      </c>
      <c r="AN121" s="1" t="s">
        <v>54</v>
      </c>
      <c r="AO121" s="1" t="s">
        <v>54</v>
      </c>
      <c r="AP121" s="1" t="s">
        <v>54</v>
      </c>
      <c r="AQ121" s="2">
        <v>43195</v>
      </c>
      <c r="AR121" s="3">
        <v>0.40625</v>
      </c>
      <c r="AS121" s="1" t="s">
        <v>54</v>
      </c>
      <c r="AT121" s="1" t="s">
        <v>136</v>
      </c>
      <c r="AU121" s="18" t="s">
        <v>136</v>
      </c>
      <c r="AV121" s="1">
        <v>36.053192000000003</v>
      </c>
      <c r="AW121" s="1">
        <v>78.761573999999996</v>
      </c>
    </row>
    <row r="122" spans="1:49" s="20" customFormat="1" ht="14.1" customHeight="1" x14ac:dyDescent="0.2">
      <c r="A122" s="20" t="s">
        <v>135</v>
      </c>
      <c r="B122" s="20">
        <v>1461966.0872102999</v>
      </c>
      <c r="C122" s="20">
        <v>-331004.33148379897</v>
      </c>
      <c r="D122" s="20" t="s">
        <v>113</v>
      </c>
      <c r="E122" s="20">
        <v>646115.10381286498</v>
      </c>
      <c r="F122" s="20" t="s">
        <v>113</v>
      </c>
      <c r="G122" s="20" t="s">
        <v>88</v>
      </c>
      <c r="H122" s="20" t="s">
        <v>53</v>
      </c>
      <c r="I122" s="20" t="s">
        <v>54</v>
      </c>
      <c r="J122" s="20">
        <v>9.0500000000000007</v>
      </c>
      <c r="K122" s="20">
        <v>33.96</v>
      </c>
      <c r="L122" s="20" t="s">
        <v>55</v>
      </c>
      <c r="M122" s="21">
        <v>43194</v>
      </c>
      <c r="N122" s="22">
        <v>0.41250000000000003</v>
      </c>
      <c r="O122" s="23">
        <v>0.40689814814814818</v>
      </c>
      <c r="P122" s="21">
        <v>43195</v>
      </c>
      <c r="Q122" s="20">
        <v>50</v>
      </c>
      <c r="R122" s="20" t="s">
        <v>56</v>
      </c>
      <c r="S122" s="20">
        <v>2.4</v>
      </c>
      <c r="T122" s="20">
        <v>0.1</v>
      </c>
      <c r="U122" s="20">
        <v>16.48</v>
      </c>
      <c r="V122" s="20">
        <v>96.3</v>
      </c>
      <c r="W122" s="20">
        <v>9.42</v>
      </c>
      <c r="X122" s="20">
        <v>0.114</v>
      </c>
      <c r="Y122" s="20">
        <v>8.1999999999999993</v>
      </c>
      <c r="Z122" s="20" t="s">
        <v>54</v>
      </c>
      <c r="AA122" s="20">
        <v>28.5</v>
      </c>
      <c r="AB122" s="20">
        <v>10.6</v>
      </c>
      <c r="AC122" s="20" t="s">
        <v>54</v>
      </c>
      <c r="AD122" s="20" t="s">
        <v>54</v>
      </c>
      <c r="AE122" s="20" t="s">
        <v>54</v>
      </c>
      <c r="AF122" s="20" t="s">
        <v>54</v>
      </c>
      <c r="AG122" s="20" t="s">
        <v>54</v>
      </c>
      <c r="AH122" s="20" t="s">
        <v>54</v>
      </c>
      <c r="AI122" s="20" t="s">
        <v>54</v>
      </c>
      <c r="AJ122" s="20" t="s">
        <v>54</v>
      </c>
      <c r="AK122" s="20" t="s">
        <v>54</v>
      </c>
      <c r="AL122" s="20" t="s">
        <v>54</v>
      </c>
      <c r="AM122" s="20" t="s">
        <v>54</v>
      </c>
      <c r="AN122" s="20" t="s">
        <v>54</v>
      </c>
      <c r="AO122" s="20" t="s">
        <v>54</v>
      </c>
      <c r="AP122" s="20" t="s">
        <v>54</v>
      </c>
      <c r="AQ122" s="21">
        <v>43195</v>
      </c>
      <c r="AR122" s="22">
        <v>0.40625</v>
      </c>
      <c r="AS122" s="20" t="s">
        <v>54</v>
      </c>
      <c r="AT122" s="20" t="s">
        <v>136</v>
      </c>
      <c r="AV122" s="20">
        <v>36.053192000000003</v>
      </c>
      <c r="AW122" s="20">
        <v>78.761573999999996</v>
      </c>
    </row>
    <row r="123" spans="1:49" s="20" customFormat="1" ht="14.1" customHeight="1" x14ac:dyDescent="0.2">
      <c r="A123" s="1" t="s">
        <v>137</v>
      </c>
      <c r="B123" s="1">
        <v>1461153.3383941799</v>
      </c>
      <c r="C123" s="1">
        <v>-328803.36032379</v>
      </c>
      <c r="D123" s="1" t="s">
        <v>113</v>
      </c>
      <c r="E123" s="1">
        <v>646115.10381286498</v>
      </c>
      <c r="F123" s="1" t="s">
        <v>113</v>
      </c>
      <c r="G123" s="18" t="s">
        <v>197</v>
      </c>
      <c r="H123" s="1" t="s">
        <v>53</v>
      </c>
      <c r="I123" s="1" t="s">
        <v>54</v>
      </c>
      <c r="J123" s="1">
        <v>9.0500000000000007</v>
      </c>
      <c r="K123" s="1">
        <v>33.96</v>
      </c>
      <c r="L123" s="1" t="s">
        <v>55</v>
      </c>
      <c r="M123" s="2">
        <v>43194</v>
      </c>
      <c r="N123" s="3">
        <v>0.39097222222222222</v>
      </c>
      <c r="O123" s="3">
        <v>0.38289351851851849</v>
      </c>
      <c r="P123" s="2">
        <v>43195</v>
      </c>
      <c r="Q123" s="1">
        <v>50</v>
      </c>
      <c r="R123" s="1" t="s">
        <v>56</v>
      </c>
      <c r="S123" s="1">
        <v>2.5</v>
      </c>
      <c r="T123" s="1">
        <v>0.1</v>
      </c>
      <c r="U123" s="1">
        <v>16.84</v>
      </c>
      <c r="V123" s="1">
        <v>95.2</v>
      </c>
      <c r="W123" s="1">
        <v>9.26</v>
      </c>
      <c r="X123" s="1">
        <v>0.11899999999999999</v>
      </c>
      <c r="Y123" s="1">
        <v>8.39</v>
      </c>
      <c r="Z123" s="1" t="s">
        <v>54</v>
      </c>
      <c r="AA123" s="1">
        <v>43.8</v>
      </c>
      <c r="AB123" s="1">
        <v>8.8000000000000007</v>
      </c>
      <c r="AC123" s="1" t="s">
        <v>54</v>
      </c>
      <c r="AD123" s="1" t="s">
        <v>54</v>
      </c>
      <c r="AE123" s="1" t="s">
        <v>54</v>
      </c>
      <c r="AF123" s="1" t="s">
        <v>54</v>
      </c>
      <c r="AG123" s="1" t="s">
        <v>54</v>
      </c>
      <c r="AH123" s="1" t="s">
        <v>54</v>
      </c>
      <c r="AI123" s="1" t="s">
        <v>54</v>
      </c>
      <c r="AJ123" s="1" t="s">
        <v>54</v>
      </c>
      <c r="AK123" s="1" t="s">
        <v>54</v>
      </c>
      <c r="AL123" s="1" t="s">
        <v>54</v>
      </c>
      <c r="AM123" s="1" t="s">
        <v>54</v>
      </c>
      <c r="AN123" s="1" t="s">
        <v>54</v>
      </c>
      <c r="AO123" s="1" t="s">
        <v>54</v>
      </c>
      <c r="AP123" s="1" t="s">
        <v>54</v>
      </c>
      <c r="AQ123" s="2">
        <v>43195</v>
      </c>
      <c r="AR123" s="3">
        <v>0.38263888888888892</v>
      </c>
      <c r="AS123" s="1">
        <v>0</v>
      </c>
      <c r="AT123" s="1" t="s">
        <v>54</v>
      </c>
      <c r="AU123" s="1" t="s">
        <v>54</v>
      </c>
      <c r="AV123" s="1">
        <v>36.072876999999998</v>
      </c>
      <c r="AW123" s="1">
        <v>78.766205999999997</v>
      </c>
    </row>
    <row r="124" spans="1:49" s="20" customFormat="1" ht="14.1" customHeight="1" x14ac:dyDescent="0.2">
      <c r="A124" s="20" t="s">
        <v>137</v>
      </c>
      <c r="B124" s="20">
        <v>1461153.3383941799</v>
      </c>
      <c r="C124" s="20">
        <v>-328803.36032379</v>
      </c>
      <c r="D124" s="20" t="s">
        <v>113</v>
      </c>
      <c r="E124" s="20">
        <v>646115.10381286498</v>
      </c>
      <c r="F124" s="20" t="s">
        <v>113</v>
      </c>
      <c r="G124" s="20" t="s">
        <v>88</v>
      </c>
      <c r="H124" s="20" t="s">
        <v>53</v>
      </c>
      <c r="I124" s="20" t="s">
        <v>54</v>
      </c>
      <c r="J124" s="20">
        <v>9.0500000000000007</v>
      </c>
      <c r="K124" s="20">
        <v>33.96</v>
      </c>
      <c r="L124" s="20" t="s">
        <v>55</v>
      </c>
      <c r="M124" s="21">
        <v>43194</v>
      </c>
      <c r="N124" s="22">
        <v>0.39097222222222222</v>
      </c>
      <c r="O124" s="22">
        <v>0.38289351851851849</v>
      </c>
      <c r="P124" s="21">
        <v>43195</v>
      </c>
      <c r="Q124" s="20">
        <v>50</v>
      </c>
      <c r="R124" s="20" t="s">
        <v>56</v>
      </c>
      <c r="S124" s="20">
        <v>2.5</v>
      </c>
      <c r="T124" s="20">
        <v>0.1</v>
      </c>
      <c r="U124" s="20">
        <v>16.84</v>
      </c>
      <c r="V124" s="20">
        <v>95.2</v>
      </c>
      <c r="W124" s="20">
        <v>9.26</v>
      </c>
      <c r="X124" s="20">
        <v>0.11899999999999999</v>
      </c>
      <c r="Y124" s="20">
        <v>8.39</v>
      </c>
      <c r="Z124" s="20" t="s">
        <v>54</v>
      </c>
      <c r="AA124" s="20">
        <v>43.8</v>
      </c>
      <c r="AB124" s="20">
        <v>8.8000000000000007</v>
      </c>
      <c r="AC124" s="20" t="s">
        <v>54</v>
      </c>
      <c r="AD124" s="20" t="s">
        <v>54</v>
      </c>
      <c r="AE124" s="20" t="s">
        <v>54</v>
      </c>
      <c r="AF124" s="20" t="s">
        <v>54</v>
      </c>
      <c r="AG124" s="20" t="s">
        <v>54</v>
      </c>
      <c r="AH124" s="20" t="s">
        <v>54</v>
      </c>
      <c r="AI124" s="20" t="s">
        <v>54</v>
      </c>
      <c r="AJ124" s="20" t="s">
        <v>54</v>
      </c>
      <c r="AK124" s="20" t="s">
        <v>54</v>
      </c>
      <c r="AL124" s="20" t="s">
        <v>54</v>
      </c>
      <c r="AM124" s="20" t="s">
        <v>54</v>
      </c>
      <c r="AN124" s="20" t="s">
        <v>54</v>
      </c>
      <c r="AO124" s="20" t="s">
        <v>54</v>
      </c>
      <c r="AP124" s="20" t="s">
        <v>54</v>
      </c>
      <c r="AQ124" s="21">
        <v>43195</v>
      </c>
      <c r="AR124" s="22">
        <v>0.38263888888888892</v>
      </c>
      <c r="AS124" s="20">
        <v>0</v>
      </c>
      <c r="AT124" s="20" t="s">
        <v>54</v>
      </c>
      <c r="AU124" s="20" t="s">
        <v>54</v>
      </c>
      <c r="AV124" s="20">
        <v>36.072876999999998</v>
      </c>
      <c r="AW124" s="20">
        <v>78.766205999999997</v>
      </c>
    </row>
    <row r="125" spans="1:49" s="20" customFormat="1" ht="14.1" customHeight="1" x14ac:dyDescent="0.2">
      <c r="A125" s="1" t="s">
        <v>138</v>
      </c>
      <c r="B125" s="1">
        <v>1462816.7064625199</v>
      </c>
      <c r="C125" s="1">
        <v>-331412.97293045599</v>
      </c>
      <c r="D125" s="1" t="s">
        <v>113</v>
      </c>
      <c r="E125" s="1">
        <v>646115.10381286498</v>
      </c>
      <c r="F125" s="1" t="s">
        <v>113</v>
      </c>
      <c r="G125" s="18" t="s">
        <v>197</v>
      </c>
      <c r="H125" s="1" t="s">
        <v>53</v>
      </c>
      <c r="I125" s="1" t="s">
        <v>54</v>
      </c>
      <c r="J125" s="1">
        <v>9.0500000000000007</v>
      </c>
      <c r="K125" s="1">
        <v>33.96</v>
      </c>
      <c r="L125" s="1" t="s">
        <v>55</v>
      </c>
      <c r="M125" s="2">
        <v>43194</v>
      </c>
      <c r="N125" s="3">
        <v>0.43055555555555558</v>
      </c>
      <c r="O125" s="4">
        <v>0.43096064814814811</v>
      </c>
      <c r="P125" s="2">
        <v>43195</v>
      </c>
      <c r="Q125" s="1">
        <v>45</v>
      </c>
      <c r="R125" s="1" t="s">
        <v>56</v>
      </c>
      <c r="S125" s="1">
        <v>2.2000000000000002</v>
      </c>
      <c r="T125" s="1">
        <v>0.1</v>
      </c>
      <c r="U125" s="1">
        <v>16.41</v>
      </c>
      <c r="V125" s="1">
        <v>96.4</v>
      </c>
      <c r="W125" s="1">
        <v>9.4600000000000009</v>
      </c>
      <c r="X125" s="1">
        <v>0.112</v>
      </c>
      <c r="Y125" s="1">
        <v>8.1199999999999992</v>
      </c>
      <c r="Z125" s="1" t="s">
        <v>54</v>
      </c>
      <c r="AA125" s="1">
        <v>20.6</v>
      </c>
      <c r="AB125" s="1">
        <v>9</v>
      </c>
      <c r="AC125" s="1" t="s">
        <v>54</v>
      </c>
      <c r="AD125" s="1" t="s">
        <v>54</v>
      </c>
      <c r="AE125" s="1" t="s">
        <v>54</v>
      </c>
      <c r="AF125" s="1" t="s">
        <v>54</v>
      </c>
      <c r="AG125" s="1" t="s">
        <v>54</v>
      </c>
      <c r="AH125" s="1" t="s">
        <v>54</v>
      </c>
      <c r="AI125" s="1" t="s">
        <v>54</v>
      </c>
      <c r="AJ125" s="1" t="s">
        <v>54</v>
      </c>
      <c r="AK125" s="1" t="s">
        <v>54</v>
      </c>
      <c r="AL125" s="1" t="s">
        <v>54</v>
      </c>
      <c r="AM125" s="1" t="s">
        <v>54</v>
      </c>
      <c r="AN125" s="1" t="s">
        <v>54</v>
      </c>
      <c r="AO125" s="1" t="s">
        <v>54</v>
      </c>
      <c r="AP125" s="1" t="s">
        <v>54</v>
      </c>
      <c r="AQ125" s="2">
        <v>43195</v>
      </c>
      <c r="AR125" s="3">
        <v>0.43055555555555558</v>
      </c>
      <c r="AS125" s="1">
        <v>1</v>
      </c>
      <c r="AT125" s="1" t="s">
        <v>54</v>
      </c>
      <c r="AU125" s="1" t="s">
        <v>54</v>
      </c>
      <c r="AV125" s="1">
        <v>36.048507000000001</v>
      </c>
      <c r="AW125" s="1">
        <v>78.752319</v>
      </c>
    </row>
    <row r="126" spans="1:49" s="20" customFormat="1" ht="14.1" customHeight="1" x14ac:dyDescent="0.2">
      <c r="A126" s="20" t="s">
        <v>138</v>
      </c>
      <c r="B126" s="20">
        <v>1462816.7064625199</v>
      </c>
      <c r="C126" s="20">
        <v>-331412.97293045599</v>
      </c>
      <c r="D126" s="20" t="s">
        <v>113</v>
      </c>
      <c r="E126" s="20">
        <v>646115.10381286498</v>
      </c>
      <c r="F126" s="20" t="s">
        <v>113</v>
      </c>
      <c r="G126" s="20" t="s">
        <v>88</v>
      </c>
      <c r="H126" s="20" t="s">
        <v>53</v>
      </c>
      <c r="I126" s="20" t="s">
        <v>54</v>
      </c>
      <c r="J126" s="20">
        <v>9.0500000000000007</v>
      </c>
      <c r="K126" s="20">
        <v>33.96</v>
      </c>
      <c r="L126" s="20" t="s">
        <v>55</v>
      </c>
      <c r="M126" s="21">
        <v>43194</v>
      </c>
      <c r="N126" s="22">
        <v>0.43055555555555558</v>
      </c>
      <c r="O126" s="23">
        <v>0.43096064814814811</v>
      </c>
      <c r="P126" s="21">
        <v>43195</v>
      </c>
      <c r="Q126" s="20">
        <v>45</v>
      </c>
      <c r="R126" s="20" t="s">
        <v>56</v>
      </c>
      <c r="S126" s="20">
        <v>2.2000000000000002</v>
      </c>
      <c r="T126" s="20">
        <v>0.1</v>
      </c>
      <c r="U126" s="20">
        <v>16.41</v>
      </c>
      <c r="V126" s="20">
        <v>96.4</v>
      </c>
      <c r="W126" s="20">
        <v>9.4600000000000009</v>
      </c>
      <c r="X126" s="20">
        <v>0.112</v>
      </c>
      <c r="Y126" s="20">
        <v>8.1199999999999992</v>
      </c>
      <c r="Z126" s="20" t="s">
        <v>54</v>
      </c>
      <c r="AA126" s="20">
        <v>20.6</v>
      </c>
      <c r="AB126" s="20">
        <v>9</v>
      </c>
      <c r="AC126" s="20" t="s">
        <v>54</v>
      </c>
      <c r="AD126" s="20" t="s">
        <v>54</v>
      </c>
      <c r="AE126" s="20" t="s">
        <v>54</v>
      </c>
      <c r="AF126" s="20" t="s">
        <v>54</v>
      </c>
      <c r="AG126" s="20" t="s">
        <v>54</v>
      </c>
      <c r="AH126" s="20" t="s">
        <v>54</v>
      </c>
      <c r="AI126" s="20" t="s">
        <v>54</v>
      </c>
      <c r="AJ126" s="20" t="s">
        <v>54</v>
      </c>
      <c r="AK126" s="20" t="s">
        <v>54</v>
      </c>
      <c r="AL126" s="20" t="s">
        <v>54</v>
      </c>
      <c r="AM126" s="20" t="s">
        <v>54</v>
      </c>
      <c r="AN126" s="20" t="s">
        <v>54</v>
      </c>
      <c r="AO126" s="20" t="s">
        <v>54</v>
      </c>
      <c r="AP126" s="20" t="s">
        <v>54</v>
      </c>
      <c r="AQ126" s="21">
        <v>43195</v>
      </c>
      <c r="AR126" s="22">
        <v>0.43055555555555558</v>
      </c>
      <c r="AS126" s="20">
        <v>1</v>
      </c>
      <c r="AT126" s="20" t="s">
        <v>54</v>
      </c>
      <c r="AU126" s="20" t="s">
        <v>54</v>
      </c>
      <c r="AV126" s="20">
        <v>36.048507000000001</v>
      </c>
      <c r="AW126" s="20">
        <v>78.752319</v>
      </c>
    </row>
    <row r="127" spans="1:49" s="20" customFormat="1" ht="14.1" customHeight="1" x14ac:dyDescent="0.2">
      <c r="A127" t="s">
        <v>139</v>
      </c>
      <c r="B127">
        <v>1460422.9056593799</v>
      </c>
      <c r="C127">
        <v>-329450.85536671802</v>
      </c>
      <c r="D127" t="s">
        <v>113</v>
      </c>
      <c r="E127">
        <v>646115.10381286498</v>
      </c>
      <c r="F127" t="s">
        <v>113</v>
      </c>
      <c r="G127" s="18" t="s">
        <v>197</v>
      </c>
      <c r="H127" s="18" t="s">
        <v>196</v>
      </c>
      <c r="I127" t="s">
        <v>54</v>
      </c>
      <c r="J127">
        <v>9.0500000000000007</v>
      </c>
      <c r="K127">
        <v>33.96</v>
      </c>
      <c r="L127" t="s">
        <v>55</v>
      </c>
      <c r="M127" s="5"/>
      <c r="N127" s="6"/>
      <c r="O127" s="6"/>
      <c r="P127" s="6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 s="5"/>
      <c r="AR127" s="6"/>
      <c r="AS127"/>
      <c r="AT127"/>
      <c r="AU127"/>
      <c r="AV127"/>
      <c r="AW127"/>
    </row>
    <row r="128" spans="1:49" s="20" customFormat="1" ht="14.1" customHeight="1" x14ac:dyDescent="0.2">
      <c r="A128" s="20" t="s">
        <v>139</v>
      </c>
      <c r="B128" s="20">
        <v>1460422.9056593799</v>
      </c>
      <c r="C128" s="20">
        <v>-329450.85536671802</v>
      </c>
      <c r="D128" s="20" t="s">
        <v>113</v>
      </c>
      <c r="E128" s="20">
        <v>646115.10381286498</v>
      </c>
      <c r="F128" s="20" t="s">
        <v>113</v>
      </c>
      <c r="G128" s="20" t="s">
        <v>88</v>
      </c>
      <c r="H128" s="20" t="s">
        <v>53</v>
      </c>
      <c r="I128" s="20" t="s">
        <v>54</v>
      </c>
      <c r="J128" s="20">
        <v>9.0500000000000007</v>
      </c>
      <c r="K128" s="20">
        <v>33.96</v>
      </c>
      <c r="L128" s="20" t="s">
        <v>55</v>
      </c>
      <c r="M128" s="21"/>
      <c r="N128" s="22"/>
      <c r="O128" s="22"/>
      <c r="P128" s="22"/>
      <c r="AQ128" s="21"/>
      <c r="AR128" s="22"/>
    </row>
    <row r="129" spans="1:49" s="20" customFormat="1" ht="14.1" customHeight="1" x14ac:dyDescent="0.2">
      <c r="A129" t="s">
        <v>140</v>
      </c>
      <c r="B129">
        <v>1461126.29935535</v>
      </c>
      <c r="C129">
        <v>-330087.50289372698</v>
      </c>
      <c r="D129" t="s">
        <v>113</v>
      </c>
      <c r="E129">
        <v>646115.10381286498</v>
      </c>
      <c r="F129" t="s">
        <v>113</v>
      </c>
      <c r="G129" s="18" t="s">
        <v>197</v>
      </c>
      <c r="H129" s="18" t="s">
        <v>196</v>
      </c>
      <c r="I129" t="s">
        <v>54</v>
      </c>
      <c r="J129">
        <v>9.0500000000000007</v>
      </c>
      <c r="K129">
        <v>33.96</v>
      </c>
      <c r="L129" t="s">
        <v>55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</row>
    <row r="130" spans="1:49" s="20" customFormat="1" ht="14.1" customHeight="1" x14ac:dyDescent="0.2">
      <c r="A130" s="20" t="s">
        <v>140</v>
      </c>
      <c r="B130" s="20">
        <v>1461126.29935535</v>
      </c>
      <c r="C130" s="20">
        <v>-330087.50289372698</v>
      </c>
      <c r="D130" s="20" t="s">
        <v>113</v>
      </c>
      <c r="E130" s="20">
        <v>646115.10381286498</v>
      </c>
      <c r="F130" s="20" t="s">
        <v>113</v>
      </c>
      <c r="G130" s="20" t="s">
        <v>88</v>
      </c>
      <c r="H130" s="20" t="s">
        <v>70</v>
      </c>
      <c r="I130" s="20" t="s">
        <v>54</v>
      </c>
      <c r="J130" s="20">
        <v>9.0500000000000007</v>
      </c>
      <c r="K130" s="20">
        <v>33.96</v>
      </c>
      <c r="L130" s="20" t="s">
        <v>55</v>
      </c>
    </row>
    <row r="131" spans="1:49" s="20" customFormat="1" ht="14.1" customHeight="1" x14ac:dyDescent="0.2">
      <c r="A131" t="s">
        <v>141</v>
      </c>
      <c r="B131">
        <v>1459428.88748133</v>
      </c>
      <c r="C131">
        <v>-328451.93498989398</v>
      </c>
      <c r="D131" t="s">
        <v>113</v>
      </c>
      <c r="E131">
        <v>646115.10381286498</v>
      </c>
      <c r="F131" t="s">
        <v>113</v>
      </c>
      <c r="G131" s="18" t="s">
        <v>197</v>
      </c>
      <c r="H131" s="18" t="s">
        <v>196</v>
      </c>
      <c r="I131" t="s">
        <v>54</v>
      </c>
      <c r="J131">
        <v>9.0500000000000007</v>
      </c>
      <c r="K131">
        <v>33.96</v>
      </c>
      <c r="L131" t="s">
        <v>55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</row>
    <row r="132" spans="1:49" s="20" customFormat="1" ht="14.1" customHeight="1" x14ac:dyDescent="0.2">
      <c r="A132" s="20" t="s">
        <v>141</v>
      </c>
      <c r="B132" s="20">
        <v>1459428.88748133</v>
      </c>
      <c r="C132" s="20">
        <v>-328451.93498989398</v>
      </c>
      <c r="D132" s="20" t="s">
        <v>113</v>
      </c>
      <c r="E132" s="20">
        <v>646115.10381286498</v>
      </c>
      <c r="F132" s="20" t="s">
        <v>113</v>
      </c>
      <c r="G132" s="20" t="s">
        <v>88</v>
      </c>
      <c r="H132" s="20" t="s">
        <v>70</v>
      </c>
      <c r="I132" s="20" t="s">
        <v>54</v>
      </c>
      <c r="J132" s="20">
        <v>9.0500000000000007</v>
      </c>
      <c r="K132" s="20">
        <v>33.96</v>
      </c>
      <c r="L132" s="20" t="s">
        <v>55</v>
      </c>
    </row>
    <row r="133" spans="1:49" s="20" customFormat="1" ht="14.1" customHeight="1" x14ac:dyDescent="0.2">
      <c r="A133" t="s">
        <v>142</v>
      </c>
      <c r="B133">
        <v>1462124.2586956799</v>
      </c>
      <c r="C133">
        <v>-330939.56871706399</v>
      </c>
      <c r="D133" t="s">
        <v>113</v>
      </c>
      <c r="E133">
        <v>646115.10381286498</v>
      </c>
      <c r="F133" t="s">
        <v>113</v>
      </c>
      <c r="G133" s="18" t="s">
        <v>197</v>
      </c>
      <c r="H133" s="18" t="s">
        <v>196</v>
      </c>
      <c r="I133" t="s">
        <v>54</v>
      </c>
      <c r="J133">
        <v>9.0500000000000007</v>
      </c>
      <c r="K133">
        <v>33.96</v>
      </c>
      <c r="L133" t="s">
        <v>55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</row>
    <row r="134" spans="1:49" s="20" customFormat="1" ht="14.1" customHeight="1" x14ac:dyDescent="0.2">
      <c r="A134" s="20" t="s">
        <v>142</v>
      </c>
      <c r="B134" s="20">
        <v>1462124.2586956799</v>
      </c>
      <c r="C134" s="20">
        <v>-330939.56871706399</v>
      </c>
      <c r="D134" s="20" t="s">
        <v>113</v>
      </c>
      <c r="E134" s="20">
        <v>646115.10381286498</v>
      </c>
      <c r="F134" s="20" t="s">
        <v>113</v>
      </c>
      <c r="G134" s="20" t="s">
        <v>88</v>
      </c>
      <c r="H134" s="20" t="s">
        <v>70</v>
      </c>
      <c r="I134" s="20" t="s">
        <v>54</v>
      </c>
      <c r="J134" s="20">
        <v>9.0500000000000007</v>
      </c>
      <c r="K134" s="20">
        <v>33.96</v>
      </c>
      <c r="L134" s="20" t="s">
        <v>55</v>
      </c>
    </row>
    <row r="135" spans="1:49" s="20" customFormat="1" ht="14.1" customHeight="1" x14ac:dyDescent="0.2">
      <c r="A135" t="s">
        <v>143</v>
      </c>
      <c r="B135">
        <v>1459570.5018283001</v>
      </c>
      <c r="C135">
        <v>-329512.47281771799</v>
      </c>
      <c r="D135" t="s">
        <v>113</v>
      </c>
      <c r="E135">
        <v>646115.10381286498</v>
      </c>
      <c r="F135" t="s">
        <v>113</v>
      </c>
      <c r="G135" s="18" t="s">
        <v>197</v>
      </c>
      <c r="H135" s="18" t="s">
        <v>196</v>
      </c>
      <c r="I135" t="s">
        <v>54</v>
      </c>
      <c r="J135">
        <v>9.0500000000000007</v>
      </c>
      <c r="K135">
        <v>33.96</v>
      </c>
      <c r="L135" t="s">
        <v>55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</row>
    <row r="136" spans="1:49" s="20" customFormat="1" ht="14.1" customHeight="1" x14ac:dyDescent="0.2">
      <c r="A136" s="20" t="s">
        <v>143</v>
      </c>
      <c r="B136" s="20">
        <v>1459570.5018283001</v>
      </c>
      <c r="C136" s="20">
        <v>-329512.47281771799</v>
      </c>
      <c r="D136" s="20" t="s">
        <v>113</v>
      </c>
      <c r="E136" s="20">
        <v>646115.10381286498</v>
      </c>
      <c r="F136" s="20" t="s">
        <v>113</v>
      </c>
      <c r="G136" s="20" t="s">
        <v>88</v>
      </c>
      <c r="H136" s="20" t="s">
        <v>70</v>
      </c>
      <c r="I136" s="20" t="s">
        <v>54</v>
      </c>
      <c r="J136" s="20">
        <v>9.0500000000000007</v>
      </c>
      <c r="K136" s="20">
        <v>33.96</v>
      </c>
      <c r="L136" s="20" t="s">
        <v>55</v>
      </c>
    </row>
    <row r="137" spans="1:49" s="20" customFormat="1" ht="14.1" customHeight="1" x14ac:dyDescent="0.2">
      <c r="A137" t="s">
        <v>144</v>
      </c>
      <c r="B137">
        <v>1461188.31923695</v>
      </c>
      <c r="C137">
        <v>-330777.66559621901</v>
      </c>
      <c r="D137" t="s">
        <v>113</v>
      </c>
      <c r="E137">
        <v>646115.10381286498</v>
      </c>
      <c r="F137" t="s">
        <v>113</v>
      </c>
      <c r="G137" s="18" t="s">
        <v>197</v>
      </c>
      <c r="H137" s="18" t="s">
        <v>196</v>
      </c>
      <c r="I137" t="s">
        <v>54</v>
      </c>
      <c r="J137">
        <v>9.0500000000000007</v>
      </c>
      <c r="K137">
        <v>33.96</v>
      </c>
      <c r="L137" t="s">
        <v>55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</row>
    <row r="138" spans="1:49" s="20" customFormat="1" ht="14.1" customHeight="1" x14ac:dyDescent="0.2">
      <c r="A138" s="20" t="s">
        <v>144</v>
      </c>
      <c r="B138" s="20">
        <v>1461188.31923695</v>
      </c>
      <c r="C138" s="20">
        <v>-330777.66559621901</v>
      </c>
      <c r="D138" s="20" t="s">
        <v>113</v>
      </c>
      <c r="E138" s="20">
        <v>646115.10381286498</v>
      </c>
      <c r="F138" s="20" t="s">
        <v>113</v>
      </c>
      <c r="G138" s="20" t="s">
        <v>88</v>
      </c>
      <c r="H138" s="20" t="s">
        <v>70</v>
      </c>
      <c r="I138" s="20" t="s">
        <v>54</v>
      </c>
      <c r="J138" s="20">
        <v>9.0500000000000007</v>
      </c>
      <c r="K138" s="20">
        <v>33.96</v>
      </c>
      <c r="L138" s="20" t="s">
        <v>55</v>
      </c>
    </row>
    <row r="139" spans="1:49" s="20" customFormat="1" ht="14.1" customHeight="1" x14ac:dyDescent="0.2">
      <c r="A139" t="s">
        <v>145</v>
      </c>
      <c r="B139">
        <v>1459638.60189808</v>
      </c>
      <c r="C139">
        <v>-328615.22111290798</v>
      </c>
      <c r="D139" t="s">
        <v>113</v>
      </c>
      <c r="E139">
        <v>646115.10381286498</v>
      </c>
      <c r="F139" t="s">
        <v>113</v>
      </c>
      <c r="G139" s="18" t="s">
        <v>197</v>
      </c>
      <c r="H139" s="18" t="s">
        <v>196</v>
      </c>
      <c r="I139" t="s">
        <v>54</v>
      </c>
      <c r="J139">
        <v>9.0500000000000007</v>
      </c>
      <c r="K139">
        <v>33.96</v>
      </c>
      <c r="L139" t="s">
        <v>55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</row>
    <row r="140" spans="1:49" s="20" customFormat="1" ht="14.1" customHeight="1" x14ac:dyDescent="0.2">
      <c r="A140" s="20" t="s">
        <v>145</v>
      </c>
      <c r="B140" s="20">
        <v>1459638.60189808</v>
      </c>
      <c r="C140" s="20">
        <v>-328615.22111290798</v>
      </c>
      <c r="D140" s="20" t="s">
        <v>113</v>
      </c>
      <c r="E140" s="20">
        <v>646115.10381286498</v>
      </c>
      <c r="F140" s="20" t="s">
        <v>113</v>
      </c>
      <c r="G140" s="20" t="s">
        <v>88</v>
      </c>
      <c r="H140" s="20" t="s">
        <v>70</v>
      </c>
      <c r="I140" s="20" t="s">
        <v>54</v>
      </c>
      <c r="J140" s="20">
        <v>9.0500000000000007</v>
      </c>
      <c r="K140" s="20">
        <v>33.96</v>
      </c>
      <c r="L140" s="20" t="s">
        <v>55</v>
      </c>
    </row>
    <row r="141" spans="1:49" s="20" customFormat="1" ht="14.1" customHeight="1" x14ac:dyDescent="0.2">
      <c r="A141" t="s">
        <v>146</v>
      </c>
      <c r="B141">
        <v>1458234.7384929601</v>
      </c>
      <c r="C141">
        <v>-330010.87619965099</v>
      </c>
      <c r="D141" t="s">
        <v>113</v>
      </c>
      <c r="E141">
        <v>646115.10381286498</v>
      </c>
      <c r="F141" t="s">
        <v>113</v>
      </c>
      <c r="G141" s="18" t="s">
        <v>197</v>
      </c>
      <c r="H141" s="18" t="s">
        <v>196</v>
      </c>
      <c r="I141" t="s">
        <v>54</v>
      </c>
      <c r="J141">
        <v>9.0500000000000007</v>
      </c>
      <c r="K141">
        <v>33.96</v>
      </c>
      <c r="L141" t="s">
        <v>55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</row>
    <row r="142" spans="1:49" s="20" customFormat="1" ht="14.1" customHeight="1" x14ac:dyDescent="0.2">
      <c r="A142" s="20" t="s">
        <v>146</v>
      </c>
      <c r="B142" s="20">
        <v>1458234.7384929601</v>
      </c>
      <c r="C142" s="20">
        <v>-330010.87619965099</v>
      </c>
      <c r="D142" s="20" t="s">
        <v>113</v>
      </c>
      <c r="E142" s="20">
        <v>646115.10381286498</v>
      </c>
      <c r="F142" s="20" t="s">
        <v>113</v>
      </c>
      <c r="G142" s="20" t="s">
        <v>88</v>
      </c>
      <c r="H142" s="20" t="s">
        <v>70</v>
      </c>
      <c r="I142" s="20" t="s">
        <v>54</v>
      </c>
      <c r="J142" s="20">
        <v>9.0500000000000007</v>
      </c>
      <c r="K142" s="20">
        <v>33.96</v>
      </c>
      <c r="L142" s="20" t="s">
        <v>55</v>
      </c>
    </row>
    <row r="143" spans="1:49" s="20" customFormat="1" ht="14.1" customHeight="1" x14ac:dyDescent="0.2">
      <c r="A143" t="s">
        <v>147</v>
      </c>
      <c r="B143">
        <v>1461647.0779347401</v>
      </c>
      <c r="C143">
        <v>-330045.94937050901</v>
      </c>
      <c r="D143" t="s">
        <v>113</v>
      </c>
      <c r="E143">
        <v>646115.10381286498</v>
      </c>
      <c r="F143" t="s">
        <v>113</v>
      </c>
      <c r="G143" s="18" t="s">
        <v>197</v>
      </c>
      <c r="H143" s="18" t="s">
        <v>196</v>
      </c>
      <c r="I143" t="s">
        <v>54</v>
      </c>
      <c r="J143">
        <v>9.0500000000000007</v>
      </c>
      <c r="K143">
        <v>33.96</v>
      </c>
      <c r="L143" t="s">
        <v>55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</row>
    <row r="144" spans="1:49" s="20" customFormat="1" ht="14.1" customHeight="1" x14ac:dyDescent="0.2">
      <c r="A144" s="20" t="s">
        <v>147</v>
      </c>
      <c r="B144" s="20">
        <v>1461647.0779347401</v>
      </c>
      <c r="C144" s="20">
        <v>-330045.94937050901</v>
      </c>
      <c r="D144" s="20" t="s">
        <v>113</v>
      </c>
      <c r="E144" s="20">
        <v>646115.10381286498</v>
      </c>
      <c r="F144" s="20" t="s">
        <v>113</v>
      </c>
      <c r="G144" s="20" t="s">
        <v>88</v>
      </c>
      <c r="H144" s="20" t="s">
        <v>70</v>
      </c>
      <c r="I144" s="20" t="s">
        <v>54</v>
      </c>
      <c r="J144" s="20">
        <v>9.0500000000000007</v>
      </c>
      <c r="K144" s="20">
        <v>33.96</v>
      </c>
      <c r="L144" s="20" t="s">
        <v>55</v>
      </c>
    </row>
    <row r="145" spans="1:49" s="20" customFormat="1" ht="14.1" customHeight="1" x14ac:dyDescent="0.2">
      <c r="A145" t="s">
        <v>148</v>
      </c>
      <c r="B145">
        <v>1461742.2884984899</v>
      </c>
      <c r="C145">
        <v>-331417.54390126298</v>
      </c>
      <c r="D145" t="s">
        <v>113</v>
      </c>
      <c r="E145">
        <v>646115.10381286498</v>
      </c>
      <c r="F145" t="s">
        <v>113</v>
      </c>
      <c r="G145" s="18" t="s">
        <v>197</v>
      </c>
      <c r="H145" s="18" t="s">
        <v>196</v>
      </c>
      <c r="I145" t="s">
        <v>54</v>
      </c>
      <c r="J145">
        <v>9.0500000000000007</v>
      </c>
      <c r="K145">
        <v>33.96</v>
      </c>
      <c r="L145" t="s">
        <v>55</v>
      </c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</row>
    <row r="146" spans="1:49" s="20" customFormat="1" ht="14.1" customHeight="1" x14ac:dyDescent="0.2">
      <c r="A146" s="20" t="s">
        <v>148</v>
      </c>
      <c r="B146" s="20">
        <v>1461742.2884984899</v>
      </c>
      <c r="C146" s="20">
        <v>-331417.54390126298</v>
      </c>
      <c r="D146" s="20" t="s">
        <v>113</v>
      </c>
      <c r="E146" s="20">
        <v>646115.10381286498</v>
      </c>
      <c r="F146" s="20" t="s">
        <v>113</v>
      </c>
      <c r="G146" s="20" t="s">
        <v>88</v>
      </c>
      <c r="H146" s="20" t="s">
        <v>70</v>
      </c>
      <c r="I146" s="20" t="s">
        <v>54</v>
      </c>
      <c r="J146" s="20">
        <v>9.0500000000000007</v>
      </c>
      <c r="K146" s="20">
        <v>33.96</v>
      </c>
      <c r="L146" s="20" t="s">
        <v>55</v>
      </c>
    </row>
    <row r="147" spans="1:49" s="20" customFormat="1" ht="14.1" customHeight="1" x14ac:dyDescent="0.2">
      <c r="A147" t="s">
        <v>149</v>
      </c>
      <c r="B147">
        <v>1461175.2208317099</v>
      </c>
      <c r="C147">
        <v>-329223.55858806701</v>
      </c>
      <c r="D147" t="s">
        <v>113</v>
      </c>
      <c r="E147">
        <v>646115.10381286498</v>
      </c>
      <c r="F147" t="s">
        <v>113</v>
      </c>
      <c r="G147" s="18" t="s">
        <v>197</v>
      </c>
      <c r="H147" s="18" t="s">
        <v>196</v>
      </c>
      <c r="I147" t="s">
        <v>54</v>
      </c>
      <c r="J147">
        <v>9.0500000000000007</v>
      </c>
      <c r="K147">
        <v>33.96</v>
      </c>
      <c r="L147" t="s">
        <v>55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</row>
    <row r="148" spans="1:49" s="20" customFormat="1" ht="14.1" customHeight="1" x14ac:dyDescent="0.2">
      <c r="A148" s="20" t="s">
        <v>149</v>
      </c>
      <c r="B148" s="20">
        <v>1461175.2208317099</v>
      </c>
      <c r="C148" s="20">
        <v>-329223.55858806701</v>
      </c>
      <c r="D148" s="20" t="s">
        <v>113</v>
      </c>
      <c r="E148" s="20">
        <v>646115.10381286498</v>
      </c>
      <c r="F148" s="20" t="s">
        <v>113</v>
      </c>
      <c r="G148" s="20" t="s">
        <v>88</v>
      </c>
      <c r="H148" s="20" t="s">
        <v>70</v>
      </c>
      <c r="I148" s="20" t="s">
        <v>54</v>
      </c>
      <c r="J148" s="20">
        <v>9.0500000000000007</v>
      </c>
      <c r="K148" s="20">
        <v>33.96</v>
      </c>
      <c r="L148" s="20" t="s">
        <v>55</v>
      </c>
    </row>
    <row r="149" spans="1:49" s="20" customFormat="1" ht="14.1" customHeight="1" x14ac:dyDescent="0.2">
      <c r="A149" t="s">
        <v>150</v>
      </c>
      <c r="B149">
        <v>1458438.2689139899</v>
      </c>
      <c r="C149">
        <v>-329652.25512148603</v>
      </c>
      <c r="D149" t="s">
        <v>113</v>
      </c>
      <c r="E149">
        <v>646115.10381286498</v>
      </c>
      <c r="F149" t="s">
        <v>113</v>
      </c>
      <c r="G149" s="18" t="s">
        <v>197</v>
      </c>
      <c r="H149" s="18" t="s">
        <v>196</v>
      </c>
      <c r="I149" t="s">
        <v>54</v>
      </c>
      <c r="J149">
        <v>9.0500000000000007</v>
      </c>
      <c r="K149">
        <v>33.96</v>
      </c>
      <c r="L149" t="s">
        <v>55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</row>
    <row r="150" spans="1:49" s="20" customFormat="1" ht="14.1" customHeight="1" x14ac:dyDescent="0.2">
      <c r="A150" s="20" t="s">
        <v>150</v>
      </c>
      <c r="B150" s="20">
        <v>1458438.2689139899</v>
      </c>
      <c r="C150" s="20">
        <v>-329652.25512148603</v>
      </c>
      <c r="D150" s="20" t="s">
        <v>113</v>
      </c>
      <c r="E150" s="20">
        <v>646115.10381286498</v>
      </c>
      <c r="F150" s="20" t="s">
        <v>113</v>
      </c>
      <c r="G150" s="20" t="s">
        <v>88</v>
      </c>
      <c r="H150" s="20" t="s">
        <v>70</v>
      </c>
      <c r="I150" s="20" t="s">
        <v>54</v>
      </c>
      <c r="J150" s="20">
        <v>9.0500000000000007</v>
      </c>
      <c r="K150" s="20">
        <v>33.96</v>
      </c>
      <c r="L150" s="20" t="s">
        <v>55</v>
      </c>
    </row>
    <row r="151" spans="1:49" s="20" customFormat="1" ht="14.1" customHeight="1" x14ac:dyDescent="0.2">
      <c r="A151" t="s">
        <v>151</v>
      </c>
      <c r="B151">
        <v>1461635.3300456901</v>
      </c>
      <c r="C151">
        <v>-329297.86201026302</v>
      </c>
      <c r="D151" t="s">
        <v>113</v>
      </c>
      <c r="E151">
        <v>646115.10381286498</v>
      </c>
      <c r="F151" t="s">
        <v>113</v>
      </c>
      <c r="G151" s="18" t="s">
        <v>197</v>
      </c>
      <c r="H151" s="18" t="s">
        <v>196</v>
      </c>
      <c r="I151" t="s">
        <v>54</v>
      </c>
      <c r="J151">
        <v>9.0500000000000007</v>
      </c>
      <c r="K151">
        <v>33.96</v>
      </c>
      <c r="L151" t="s">
        <v>55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</row>
    <row r="152" spans="1:49" s="20" customFormat="1" ht="14.1" customHeight="1" x14ac:dyDescent="0.2">
      <c r="A152" s="20" t="s">
        <v>151</v>
      </c>
      <c r="B152" s="20">
        <v>1461635.3300456901</v>
      </c>
      <c r="C152" s="20">
        <v>-329297.86201026302</v>
      </c>
      <c r="D152" s="20" t="s">
        <v>113</v>
      </c>
      <c r="E152" s="20">
        <v>646115.10381286498</v>
      </c>
      <c r="F152" s="20" t="s">
        <v>113</v>
      </c>
      <c r="G152" s="20" t="s">
        <v>88</v>
      </c>
      <c r="H152" s="20" t="s">
        <v>70</v>
      </c>
      <c r="I152" s="20" t="s">
        <v>54</v>
      </c>
      <c r="J152" s="20">
        <v>9.0500000000000007</v>
      </c>
      <c r="K152" s="20">
        <v>33.96</v>
      </c>
      <c r="L152" s="20" t="s">
        <v>55</v>
      </c>
    </row>
    <row r="153" spans="1:49" s="20" customFormat="1" ht="14.1" customHeight="1" x14ac:dyDescent="0.2">
      <c r="A153" t="s">
        <v>152</v>
      </c>
      <c r="B153">
        <v>1460210.70102928</v>
      </c>
      <c r="C153">
        <v>-329218.62914443202</v>
      </c>
      <c r="D153" t="s">
        <v>113</v>
      </c>
      <c r="E153">
        <v>646115.10381286498</v>
      </c>
      <c r="F153" t="s">
        <v>113</v>
      </c>
      <c r="G153" s="18" t="s">
        <v>197</v>
      </c>
      <c r="H153" s="18" t="s">
        <v>196</v>
      </c>
      <c r="I153" t="s">
        <v>54</v>
      </c>
      <c r="J153">
        <v>9.0500000000000007</v>
      </c>
      <c r="K153">
        <v>33.96</v>
      </c>
      <c r="L153" t="s">
        <v>55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</row>
    <row r="154" spans="1:49" s="20" customFormat="1" ht="14.1" customHeight="1" x14ac:dyDescent="0.2">
      <c r="A154" s="20" t="s">
        <v>152</v>
      </c>
      <c r="B154" s="20">
        <v>1460210.70102928</v>
      </c>
      <c r="C154" s="20">
        <v>-329218.62914443202</v>
      </c>
      <c r="D154" s="20" t="s">
        <v>113</v>
      </c>
      <c r="E154" s="20">
        <v>646115.10381286498</v>
      </c>
      <c r="F154" s="20" t="s">
        <v>113</v>
      </c>
      <c r="G154" s="20" t="s">
        <v>88</v>
      </c>
      <c r="H154" s="20" t="s">
        <v>70</v>
      </c>
      <c r="I154" s="20" t="s">
        <v>54</v>
      </c>
      <c r="J154" s="20">
        <v>9.0500000000000007</v>
      </c>
      <c r="K154" s="20">
        <v>33.96</v>
      </c>
      <c r="L154" s="20" t="s">
        <v>55</v>
      </c>
    </row>
    <row r="155" spans="1:49" s="20" customFormat="1" ht="14.1" customHeight="1" x14ac:dyDescent="0.2">
      <c r="A155" t="s">
        <v>153</v>
      </c>
      <c r="B155">
        <v>1461503.04050983</v>
      </c>
      <c r="C155">
        <v>-328794.60014871502</v>
      </c>
      <c r="D155" t="s">
        <v>113</v>
      </c>
      <c r="E155">
        <v>646115.10381286498</v>
      </c>
      <c r="F155" t="s">
        <v>113</v>
      </c>
      <c r="G155" s="18" t="s">
        <v>197</v>
      </c>
      <c r="H155" s="18" t="s">
        <v>196</v>
      </c>
      <c r="I155" t="s">
        <v>54</v>
      </c>
      <c r="J155">
        <v>9.0500000000000007</v>
      </c>
      <c r="K155">
        <v>33.96</v>
      </c>
      <c r="L155" t="s">
        <v>55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</row>
    <row r="156" spans="1:49" s="20" customFormat="1" ht="14.1" customHeight="1" x14ac:dyDescent="0.2">
      <c r="A156" s="20" t="s">
        <v>153</v>
      </c>
      <c r="B156" s="20">
        <v>1461503.04050983</v>
      </c>
      <c r="C156" s="20">
        <v>-328794.60014871502</v>
      </c>
      <c r="D156" s="20" t="s">
        <v>113</v>
      </c>
      <c r="E156" s="20">
        <v>646115.10381286498</v>
      </c>
      <c r="F156" s="20" t="s">
        <v>113</v>
      </c>
      <c r="G156" s="20" t="s">
        <v>88</v>
      </c>
      <c r="H156" s="20" t="s">
        <v>70</v>
      </c>
      <c r="I156" s="20" t="s">
        <v>54</v>
      </c>
      <c r="J156" s="20">
        <v>9.0500000000000007</v>
      </c>
      <c r="K156" s="20">
        <v>33.96</v>
      </c>
      <c r="L156" s="20" t="s">
        <v>55</v>
      </c>
    </row>
    <row r="157" spans="1:49" s="20" customFormat="1" ht="14.1" customHeigh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1:49" s="20" customFormat="1" ht="14.1" customHeigh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1:49" s="20" customFormat="1" ht="14.1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  <row r="160" spans="1:49" s="20" customFormat="1" ht="14.1" customHeight="1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</row>
    <row r="161" spans="1:49" s="20" customFormat="1" ht="14.1" customHeight="1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</row>
    <row r="162" spans="1:49" s="20" customFormat="1" ht="14.1" customHeight="1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</row>
    <row r="163" spans="1:49" s="20" customFormat="1" ht="14.1" customHeight="1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</row>
    <row r="164" spans="1:49" s="20" customFormat="1" ht="14.1" customHeight="1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</row>
    <row r="165" spans="1:49" s="24" customFormat="1" ht="14.1" customHeight="1" x14ac:dyDescent="0.2"/>
  </sheetData>
  <sheetProtection algorithmName="SHA-512" hashValue="f+osSB59ZBR79M5c5PwxBngJLrfvkihvMfsK0m0keMSJ4L/nSznUacy6fY/wof6ZoyvPMHXMayUPNYgDFbdaTw==" saltValue="mz3X4S+1fqrlgBt5IDSPOA==" spinCount="100000" sheet="1" objects="1" scenarios="1"/>
  <sortState xmlns:xlrd2="http://schemas.microsoft.com/office/spreadsheetml/2017/richdata2" ref="A12:AW165">
    <sortCondition ref="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apr2018</vt:lpstr>
      <vt:lpstr>Orig v QAQC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2020-03-23T13:44:50Z</dcterms:created>
  <dcterms:modified xsi:type="dcterms:W3CDTF">2020-04-23T18:41:57Z</dcterms:modified>
</cp:coreProperties>
</file>